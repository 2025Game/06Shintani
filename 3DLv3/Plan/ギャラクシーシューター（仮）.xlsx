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codeName="ThisWorkbook"/>
  <xr:revisionPtr revIDLastSave="11" documentId="13_ncr:1_{29EE4739-519B-4E93-A7DE-97C18007F75C}" xr6:coauthVersionLast="47" xr6:coauthVersionMax="47" xr10:uidLastSave="{38B4197B-1760-42DE-80F3-7BBF72CA9740}"/>
  <bookViews>
    <workbookView xWindow="-108" yWindow="-108" windowWidth="23256" windowHeight="13176" xr2:uid="{00000000-000D-0000-FFFF-FFFF00000000}"/>
  </bookViews>
  <sheets>
    <sheet name="プロジェクトのスケジュール" sheetId="11" r:id="rId1"/>
    <sheet name="詳細情報" sheetId="12" r:id="rId2"/>
  </sheets>
  <definedNames>
    <definedName name="_xlnm.Print_Titles" localSheetId="0">プロジェクトのスケジュール!$4:$6</definedName>
    <definedName name="タスク_開始" localSheetId="0">プロジェクトのスケジュール!$E1</definedName>
    <definedName name="タスク_終了" localSheetId="0">プロジェクトのスケジュール!$F1</definedName>
    <definedName name="タスク_進捗状況" localSheetId="0">プロジェクトのスケジュール!$D1</definedName>
    <definedName name="プロジェクトの開始">プロジェクトのスケジュール!$E$3</definedName>
    <definedName name="今日" localSheetId="0">TODAY()</definedName>
    <definedName name="週表示">プロジェクトのスケジュール!$E$4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76" i="11" l="1"/>
  <c r="E276" i="11"/>
  <c r="F275" i="11"/>
  <c r="H276" i="11"/>
  <c r="H274" i="11"/>
  <c r="H253" i="11"/>
  <c r="H256" i="11"/>
  <c r="H259" i="11"/>
  <c r="H262" i="11"/>
  <c r="H263" i="11"/>
  <c r="H265" i="11"/>
  <c r="H267" i="11"/>
  <c r="H270" i="11"/>
  <c r="H272" i="11"/>
  <c r="H245" i="11"/>
  <c r="H248" i="11"/>
  <c r="H249" i="11"/>
  <c r="H251" i="11"/>
  <c r="H252" i="11"/>
  <c r="H7" i="11" l="1"/>
  <c r="H212" i="11" l="1"/>
  <c r="H218" i="11"/>
  <c r="H215" i="11"/>
  <c r="H98" i="11"/>
  <c r="H75" i="11"/>
  <c r="H203" i="11"/>
  <c r="H200" i="11"/>
  <c r="H118" i="11"/>
  <c r="H195" i="11"/>
  <c r="H102" i="11"/>
  <c r="H97" i="11"/>
  <c r="H204" i="11"/>
  <c r="H104" i="11"/>
  <c r="H211" i="11"/>
  <c r="H111" i="11"/>
  <c r="H113" i="11"/>
  <c r="H117" i="11"/>
  <c r="H196" i="11"/>
  <c r="H192" i="11"/>
  <c r="H107" i="11"/>
  <c r="H106" i="11"/>
  <c r="H122" i="11"/>
  <c r="H63" i="11"/>
  <c r="H76" i="11"/>
  <c r="H72" i="11"/>
  <c r="H208" i="11" l="1"/>
  <c r="H242" i="11"/>
  <c r="H230" i="11"/>
  <c r="H91" i="11"/>
  <c r="H80" i="11"/>
  <c r="H19" i="11"/>
  <c r="H17" i="11"/>
  <c r="H8" i="11"/>
  <c r="H187" i="11" l="1"/>
  <c r="H224" i="11"/>
  <c r="H186" i="11"/>
  <c r="H221" i="11"/>
  <c r="H183" i="11"/>
  <c r="H124" i="11"/>
  <c r="H227" i="11"/>
  <c r="H68" i="11"/>
  <c r="H27" i="11"/>
  <c r="H70" i="11" l="1"/>
  <c r="H174" i="11" l="1"/>
  <c r="H136" i="11"/>
  <c r="H179" i="11" l="1"/>
  <c r="H177" i="11"/>
  <c r="H173" i="11"/>
  <c r="H139" i="11"/>
  <c r="H155" i="11"/>
  <c r="H93" i="11"/>
  <c r="H82" i="11"/>
  <c r="H167" i="11" l="1"/>
  <c r="H140" i="11"/>
  <c r="H86" i="11"/>
  <c r="H161" i="11" l="1"/>
  <c r="H149" i="11"/>
  <c r="H148" i="11"/>
  <c r="H144" i="11"/>
  <c r="H87" i="11" l="1"/>
  <c r="H239" i="11" l="1"/>
  <c r="H236" i="11"/>
  <c r="H233" i="11"/>
  <c r="E15" i="11"/>
  <c r="I5" i="11"/>
  <c r="E11" i="11"/>
  <c r="F11" i="11" s="1"/>
  <c r="F15" i="11" l="1"/>
  <c r="E16" i="11" s="1"/>
  <c r="I6" i="11"/>
  <c r="I4" i="11"/>
  <c r="H11" i="11"/>
  <c r="E12" i="11"/>
  <c r="J5" i="11"/>
  <c r="H15" i="11" l="1"/>
  <c r="F16" i="11"/>
  <c r="E18" i="11" s="1"/>
  <c r="F12" i="11"/>
  <c r="E13" i="11" s="1"/>
  <c r="K5" i="11"/>
  <c r="J6" i="11"/>
  <c r="H16" i="11" l="1"/>
  <c r="H12" i="11"/>
  <c r="F13" i="11"/>
  <c r="H13" i="11" s="1"/>
  <c r="F18" i="11"/>
  <c r="H37" i="11"/>
  <c r="K6" i="11"/>
  <c r="L5" i="11"/>
  <c r="H18" i="11" l="1"/>
  <c r="E20" i="11"/>
  <c r="H34" i="11"/>
  <c r="L6" i="11"/>
  <c r="M5" i="11"/>
  <c r="H39" i="11"/>
  <c r="F20" i="11" l="1"/>
  <c r="N5" i="11"/>
  <c r="M6" i="11"/>
  <c r="E21" i="11" l="1"/>
  <c r="F21" i="11" s="1"/>
  <c r="E23" i="11" s="1"/>
  <c r="E22" i="11"/>
  <c r="F22" i="11" s="1"/>
  <c r="H20" i="11"/>
  <c r="N6" i="11"/>
  <c r="O5" i="11"/>
  <c r="H21" i="11" l="1"/>
  <c r="E24" i="11"/>
  <c r="F23" i="11"/>
  <c r="H22" i="11" s="1"/>
  <c r="O6" i="11"/>
  <c r="P5" i="11"/>
  <c r="F24" i="11" l="1"/>
  <c r="E26" i="11" s="1"/>
  <c r="Q5" i="11"/>
  <c r="P4" i="11"/>
  <c r="P6" i="11"/>
  <c r="H24" i="11" l="1"/>
  <c r="F26" i="11"/>
  <c r="H26" i="11" s="1"/>
  <c r="H23" i="11"/>
  <c r="Q6" i="11"/>
  <c r="R5" i="11"/>
  <c r="E29" i="11" l="1"/>
  <c r="F29" i="11" s="1"/>
  <c r="E30" i="11" s="1"/>
  <c r="H25" i="11"/>
  <c r="S5" i="11"/>
  <c r="R6" i="11"/>
  <c r="H28" i="11" l="1"/>
  <c r="F30" i="11"/>
  <c r="H29" i="11" s="1"/>
  <c r="E31" i="11"/>
  <c r="T5" i="11"/>
  <c r="S6" i="11"/>
  <c r="F31" i="11" l="1"/>
  <c r="E32" i="11" s="1"/>
  <c r="T6" i="11"/>
  <c r="U5" i="11"/>
  <c r="H30" i="11" l="1"/>
  <c r="E33" i="11"/>
  <c r="F32" i="11"/>
  <c r="H31" i="11" s="1"/>
  <c r="U6" i="11"/>
  <c r="V5" i="11"/>
  <c r="F33" i="11" l="1"/>
  <c r="E50" i="11" s="1"/>
  <c r="F50" i="11" s="1"/>
  <c r="E52" i="11" s="1"/>
  <c r="F52" i="11" s="1"/>
  <c r="H48" i="11"/>
  <c r="H32" i="11"/>
  <c r="W5" i="11"/>
  <c r="W4" i="11" s="1"/>
  <c r="V6" i="11"/>
  <c r="E36" i="11" l="1"/>
  <c r="F36" i="11" s="1"/>
  <c r="H33" i="11"/>
  <c r="E51" i="11"/>
  <c r="W6" i="11"/>
  <c r="X5" i="11"/>
  <c r="H36" i="11" l="1"/>
  <c r="F51" i="11"/>
  <c r="H49" i="11"/>
  <c r="H35" i="11"/>
  <c r="Y5" i="11"/>
  <c r="X6" i="11"/>
  <c r="H50" i="11" l="1"/>
  <c r="E53" i="11"/>
  <c r="F53" i="11" s="1"/>
  <c r="E54" i="11" s="1"/>
  <c r="F54" i="11" s="1"/>
  <c r="E56" i="11" s="1"/>
  <c r="F56" i="11" s="1"/>
  <c r="H51" i="11"/>
  <c r="H52" i="11"/>
  <c r="H41" i="11"/>
  <c r="Z5" i="11"/>
  <c r="Y6" i="11"/>
  <c r="H55" i="11" l="1"/>
  <c r="H53" i="11"/>
  <c r="E57" i="11"/>
  <c r="H54" i="11"/>
  <c r="H43" i="11"/>
  <c r="Z6" i="11"/>
  <c r="AA5" i="11"/>
  <c r="F57" i="11" l="1"/>
  <c r="E59" i="11" s="1"/>
  <c r="H56" i="11"/>
  <c r="H64" i="11"/>
  <c r="AA6" i="11"/>
  <c r="AB5" i="11"/>
  <c r="F59" i="11" l="1"/>
  <c r="E62" i="11" s="1"/>
  <c r="H58" i="11"/>
  <c r="AB6" i="11"/>
  <c r="AC5" i="11"/>
  <c r="F62" i="11" l="1"/>
  <c r="E65" i="11" s="1"/>
  <c r="E60" i="11"/>
  <c r="E61" i="11"/>
  <c r="AC6" i="11"/>
  <c r="AD5" i="11"/>
  <c r="F65" i="11" l="1"/>
  <c r="H62" i="11"/>
  <c r="F61" i="11"/>
  <c r="F60" i="11"/>
  <c r="H59" i="11"/>
  <c r="AD4" i="11"/>
  <c r="AE5" i="11"/>
  <c r="AD6" i="11"/>
  <c r="E66" i="11" l="1"/>
  <c r="E67" i="11"/>
  <c r="H65" i="11"/>
  <c r="H57" i="11"/>
  <c r="H61" i="11"/>
  <c r="H60" i="11"/>
  <c r="AF5" i="11"/>
  <c r="AE6" i="11"/>
  <c r="F66" i="11" l="1"/>
  <c r="H66" i="11" s="1"/>
  <c r="F67" i="11"/>
  <c r="E69" i="11" s="1"/>
  <c r="AG5" i="11"/>
  <c r="AF6" i="11"/>
  <c r="H67" i="11" l="1"/>
  <c r="F69" i="11"/>
  <c r="E71" i="11" s="1"/>
  <c r="E73" i="11" s="1"/>
  <c r="E74" i="11" s="1"/>
  <c r="AG6" i="11"/>
  <c r="AH5" i="11"/>
  <c r="H69" i="11" l="1"/>
  <c r="F74" i="11"/>
  <c r="E77" i="11" s="1"/>
  <c r="F71" i="11"/>
  <c r="AI5" i="11"/>
  <c r="AH6" i="11"/>
  <c r="H74" i="11" l="1"/>
  <c r="F77" i="11"/>
  <c r="E78" i="11" s="1"/>
  <c r="H71" i="11"/>
  <c r="AJ5" i="11"/>
  <c r="AI6" i="11"/>
  <c r="H77" i="11" l="1"/>
  <c r="F78" i="11"/>
  <c r="E79" i="11" s="1"/>
  <c r="F73" i="11"/>
  <c r="H73" i="11" s="1"/>
  <c r="AJ6" i="11"/>
  <c r="AK5" i="11"/>
  <c r="H78" i="11" l="1"/>
  <c r="F79" i="11"/>
  <c r="E81" i="11" s="1"/>
  <c r="AK6" i="11"/>
  <c r="AL5" i="11"/>
  <c r="AK4" i="11"/>
  <c r="H79" i="11" l="1"/>
  <c r="F81" i="11"/>
  <c r="E83" i="11" s="1"/>
  <c r="AL6" i="11"/>
  <c r="AM5" i="11"/>
  <c r="H81" i="11" l="1"/>
  <c r="F83" i="11"/>
  <c r="E84" i="11" s="1"/>
  <c r="AM6" i="11"/>
  <c r="AN5" i="11"/>
  <c r="H83" i="11" l="1"/>
  <c r="F84" i="11"/>
  <c r="E85" i="11" s="1"/>
  <c r="AN6" i="11"/>
  <c r="AO5" i="11"/>
  <c r="H84" i="11" l="1"/>
  <c r="F85" i="11"/>
  <c r="E88" i="11" s="1"/>
  <c r="H85" i="11"/>
  <c r="AP5" i="11"/>
  <c r="AO6" i="11"/>
  <c r="F88" i="11" l="1"/>
  <c r="E89" i="11" s="1"/>
  <c r="AP6" i="11"/>
  <c r="AQ5" i="11"/>
  <c r="H88" i="11" l="1"/>
  <c r="F89" i="11"/>
  <c r="E90" i="11" s="1"/>
  <c r="AR5" i="11"/>
  <c r="AQ6" i="11"/>
  <c r="H89" i="11" l="1"/>
  <c r="F90" i="11"/>
  <c r="E92" i="11" s="1"/>
  <c r="AS5" i="11"/>
  <c r="AR4" i="11"/>
  <c r="AR6" i="11"/>
  <c r="H90" i="11" l="1"/>
  <c r="F92" i="11"/>
  <c r="E94" i="11" s="1"/>
  <c r="AS6" i="11"/>
  <c r="AT5" i="11"/>
  <c r="H92" i="11" l="1"/>
  <c r="F94" i="11"/>
  <c r="E95" i="11" s="1"/>
  <c r="AU5" i="11"/>
  <c r="AT6" i="11"/>
  <c r="H94" i="11" l="1"/>
  <c r="F95" i="11"/>
  <c r="E38" i="11" s="1"/>
  <c r="AV5" i="11"/>
  <c r="AU6" i="11"/>
  <c r="H95" i="11" l="1"/>
  <c r="F38" i="11"/>
  <c r="E40" i="11" s="1"/>
  <c r="H96" i="11"/>
  <c r="AV6" i="11"/>
  <c r="AW5" i="11"/>
  <c r="H38" i="11" l="1"/>
  <c r="F40" i="11"/>
  <c r="E42" i="11" s="1"/>
  <c r="AW6" i="11"/>
  <c r="AX5" i="11"/>
  <c r="H40" i="11" l="1"/>
  <c r="F42" i="11"/>
  <c r="H42" i="11" s="1"/>
  <c r="AY5" i="11"/>
  <c r="AX6" i="11"/>
  <c r="E45" i="11" l="1"/>
  <c r="E44" i="11"/>
  <c r="AY6" i="11"/>
  <c r="AY4" i="11"/>
  <c r="AZ5" i="11"/>
  <c r="F44" i="11" l="1"/>
  <c r="H44" i="11" s="1"/>
  <c r="F45" i="11"/>
  <c r="E46" i="11" s="1"/>
  <c r="BA5" i="11"/>
  <c r="AZ6" i="11"/>
  <c r="H45" i="11" l="1"/>
  <c r="F46" i="11"/>
  <c r="E47" i="11" s="1"/>
  <c r="BB5" i="11"/>
  <c r="BA6" i="11"/>
  <c r="H46" i="11" l="1"/>
  <c r="F47" i="11"/>
  <c r="E99" i="11" s="1"/>
  <c r="BB6" i="11"/>
  <c r="BC5" i="11"/>
  <c r="H47" i="11" l="1"/>
  <c r="F99" i="11"/>
  <c r="E100" i="11" s="1"/>
  <c r="BC6" i="11"/>
  <c r="BD5" i="11"/>
  <c r="H99" i="11" l="1"/>
  <c r="F100" i="11"/>
  <c r="E101" i="11" s="1"/>
  <c r="BE5" i="11"/>
  <c r="BD6" i="11"/>
  <c r="H100" i="11" l="1"/>
  <c r="F101" i="11"/>
  <c r="E103" i="11" s="1"/>
  <c r="BE6" i="11"/>
  <c r="BF5" i="11"/>
  <c r="H101" i="11" l="1"/>
  <c r="F103" i="11"/>
  <c r="E105" i="11" s="1"/>
  <c r="BF4" i="11"/>
  <c r="BG5" i="11"/>
  <c r="BF6" i="11"/>
  <c r="H103" i="11" l="1"/>
  <c r="F105" i="11"/>
  <c r="E108" i="11" s="1"/>
  <c r="BH5" i="11"/>
  <c r="BG6" i="11"/>
  <c r="H105" i="11" l="1"/>
  <c r="F108" i="11"/>
  <c r="H108" i="11" s="1"/>
  <c r="BH6" i="11"/>
  <c r="BI5" i="11"/>
  <c r="E109" i="11" l="1"/>
  <c r="E110" i="11"/>
  <c r="BI6" i="11"/>
  <c r="BJ5" i="11"/>
  <c r="F110" i="11" l="1"/>
  <c r="E112" i="11" s="1"/>
  <c r="H110" i="11"/>
  <c r="F109" i="11"/>
  <c r="H109" i="11" s="1"/>
  <c r="BK5" i="11"/>
  <c r="BJ6" i="11"/>
  <c r="F112" i="11" l="1"/>
  <c r="E114" i="11" s="1"/>
  <c r="BL5" i="11"/>
  <c r="BK6" i="11"/>
  <c r="H112" i="11" l="1"/>
  <c r="F114" i="11"/>
  <c r="E115" i="11" s="1"/>
  <c r="BL6" i="11"/>
  <c r="BM5" i="11"/>
  <c r="H114" i="11" l="1"/>
  <c r="F115" i="11"/>
  <c r="E116" i="11" s="1"/>
  <c r="BN5" i="11"/>
  <c r="BM6" i="11"/>
  <c r="BM4" i="11"/>
  <c r="H115" i="11" l="1"/>
  <c r="F116" i="11"/>
  <c r="E119" i="11" s="1"/>
  <c r="BN6" i="11"/>
  <c r="BO5" i="11"/>
  <c r="H116" i="11" l="1"/>
  <c r="F119" i="11"/>
  <c r="E120" i="11" s="1"/>
  <c r="BO6" i="11"/>
  <c r="BP5" i="11"/>
  <c r="H119" i="11" l="1"/>
  <c r="F120" i="11"/>
  <c r="E121" i="11" s="1"/>
  <c r="BQ5" i="11"/>
  <c r="BP6" i="11"/>
  <c r="H120" i="11" l="1"/>
  <c r="F121" i="11"/>
  <c r="E123" i="11" s="1"/>
  <c r="BR5" i="11"/>
  <c r="BQ6" i="11"/>
  <c r="H121" i="11" l="1"/>
  <c r="F123" i="11"/>
  <c r="E125" i="11" s="1"/>
  <c r="BR6" i="11"/>
  <c r="BS5" i="11"/>
  <c r="H123" i="11" l="1"/>
  <c r="F125" i="11"/>
  <c r="BT5" i="11"/>
  <c r="BS6" i="11"/>
  <c r="E126" i="11" l="1"/>
  <c r="F126" i="11" s="1"/>
  <c r="E127" i="11"/>
  <c r="H125" i="11"/>
  <c r="F127" i="11"/>
  <c r="H126" i="11"/>
  <c r="BU5" i="11"/>
  <c r="BT6" i="11"/>
  <c r="BT4" i="11"/>
  <c r="E128" i="11" l="1"/>
  <c r="F128" i="11" s="1"/>
  <c r="E129" i="11" s="1"/>
  <c r="F129" i="11" s="1"/>
  <c r="E130" i="11" s="1"/>
  <c r="F130" i="11" s="1"/>
  <c r="E131" i="11" s="1"/>
  <c r="H127" i="11"/>
  <c r="H128" i="11"/>
  <c r="BU6" i="11"/>
  <c r="BV5" i="11"/>
  <c r="F131" i="11" l="1"/>
  <c r="E133" i="11" s="1"/>
  <c r="F133" i="11" s="1"/>
  <c r="H129" i="11"/>
  <c r="E135" i="11"/>
  <c r="E137" i="11" s="1"/>
  <c r="H130" i="11"/>
  <c r="BW5" i="11"/>
  <c r="BV6" i="11"/>
  <c r="F135" i="11" l="1"/>
  <c r="E132" i="11"/>
  <c r="F132" i="11" s="1"/>
  <c r="E134" i="11" s="1"/>
  <c r="F134" i="11" s="1"/>
  <c r="H131" i="11"/>
  <c r="H133" i="11"/>
  <c r="H132" i="11"/>
  <c r="BX5" i="11"/>
  <c r="BW6" i="11"/>
  <c r="E138" i="11" l="1"/>
  <c r="F137" i="11"/>
  <c r="H137" i="11" s="1"/>
  <c r="H135" i="11"/>
  <c r="H134" i="11"/>
  <c r="BX6" i="11"/>
  <c r="BY5" i="11"/>
  <c r="F138" i="11" l="1"/>
  <c r="E141" i="11" s="1"/>
  <c r="BZ5" i="11"/>
  <c r="BY6" i="11"/>
  <c r="H138" i="11" l="1"/>
  <c r="F141" i="11"/>
  <c r="H141" i="11"/>
  <c r="CA5" i="11"/>
  <c r="BZ6" i="11"/>
  <c r="E142" i="11" l="1"/>
  <c r="E143" i="11"/>
  <c r="CA6" i="11"/>
  <c r="CB5" i="11"/>
  <c r="CA4" i="11"/>
  <c r="F143" i="11" l="1"/>
  <c r="E145" i="11" s="1"/>
  <c r="H143" i="11"/>
  <c r="F142" i="11"/>
  <c r="H142" i="11" s="1"/>
  <c r="CC5" i="11"/>
  <c r="CB6" i="11"/>
  <c r="F145" i="11" l="1"/>
  <c r="H145" i="11"/>
  <c r="CC6" i="11"/>
  <c r="CD5" i="11"/>
  <c r="E147" i="11" l="1"/>
  <c r="E146" i="11"/>
  <c r="CD6" i="11"/>
  <c r="CE5" i="11"/>
  <c r="F146" i="11" l="1"/>
  <c r="H146" i="11" s="1"/>
  <c r="F147" i="11"/>
  <c r="E150" i="11" s="1"/>
  <c r="CE6" i="11"/>
  <c r="CF5" i="11"/>
  <c r="H147" i="11" l="1"/>
  <c r="F150" i="11"/>
  <c r="H150" i="11" s="1"/>
  <c r="CG5" i="11"/>
  <c r="CF6" i="11"/>
  <c r="E152" i="11" l="1"/>
  <c r="E151" i="11"/>
  <c r="CH5" i="11"/>
  <c r="CG6" i="11"/>
  <c r="F151" i="11" l="1"/>
  <c r="H151" i="11"/>
  <c r="F152" i="11"/>
  <c r="CH6" i="11"/>
  <c r="CI5" i="11"/>
  <c r="CH4" i="11"/>
  <c r="E153" i="11" l="1"/>
  <c r="E154" i="11"/>
  <c r="H152" i="11"/>
  <c r="CJ5" i="11"/>
  <c r="CI6" i="11"/>
  <c r="F154" i="11" l="1"/>
  <c r="E156" i="11" s="1"/>
  <c r="F153" i="11"/>
  <c r="H153" i="11" s="1"/>
  <c r="CJ6" i="11"/>
  <c r="CK5" i="11"/>
  <c r="H154" i="11" l="1"/>
  <c r="F156" i="11"/>
  <c r="H156" i="11" s="1"/>
  <c r="CK6" i="11"/>
  <c r="CL5" i="11"/>
  <c r="E158" i="11" l="1"/>
  <c r="E157" i="11"/>
  <c r="CM5" i="11"/>
  <c r="CL6" i="11"/>
  <c r="F157" i="11" l="1"/>
  <c r="H157" i="11" s="1"/>
  <c r="F158" i="11"/>
  <c r="E159" i="11" s="1"/>
  <c r="CN5" i="11"/>
  <c r="CM6" i="11"/>
  <c r="H158" i="11" l="1"/>
  <c r="F159" i="11"/>
  <c r="E160" i="11" s="1"/>
  <c r="CN6" i="11"/>
  <c r="CO5" i="11"/>
  <c r="H159" i="11" l="1"/>
  <c r="F160" i="11"/>
  <c r="E162" i="11" s="1"/>
  <c r="H160" i="11"/>
  <c r="CO4" i="11"/>
  <c r="CP5" i="11"/>
  <c r="CO6" i="11"/>
  <c r="F162" i="11" l="1"/>
  <c r="H162" i="11"/>
  <c r="CP6" i="11"/>
  <c r="CQ5" i="11"/>
  <c r="E164" i="11" l="1"/>
  <c r="E163" i="11"/>
  <c r="CQ6" i="11"/>
  <c r="CR5" i="11"/>
  <c r="F163" i="11" l="1"/>
  <c r="H163" i="11" s="1"/>
  <c r="F164" i="11"/>
  <c r="H164" i="11" s="1"/>
  <c r="CS5" i="11"/>
  <c r="CR6" i="11"/>
  <c r="E165" i="11" l="1"/>
  <c r="E166" i="11"/>
  <c r="CT5" i="11"/>
  <c r="CS6" i="11"/>
  <c r="F166" i="11" l="1"/>
  <c r="E168" i="11" s="1"/>
  <c r="F165" i="11"/>
  <c r="H165" i="11" s="1"/>
  <c r="CT6" i="11"/>
  <c r="CU5" i="11"/>
  <c r="H166" i="11" l="1"/>
  <c r="F168" i="11"/>
  <c r="H168" i="11" s="1"/>
  <c r="CV5" i="11"/>
  <c r="CU6" i="11"/>
  <c r="E170" i="11" l="1"/>
  <c r="E169" i="11"/>
  <c r="CW5" i="11"/>
  <c r="CV4" i="11"/>
  <c r="CV6" i="11"/>
  <c r="F169" i="11" l="1"/>
  <c r="H169" i="11"/>
  <c r="F170" i="11"/>
  <c r="H170" i="11" s="1"/>
  <c r="CW6" i="11"/>
  <c r="CX5" i="11"/>
  <c r="E171" i="11" l="1"/>
  <c r="E172" i="11"/>
  <c r="CY5" i="11"/>
  <c r="CX6" i="11"/>
  <c r="F172" i="11" l="1"/>
  <c r="E175" i="11" s="1"/>
  <c r="H172" i="11"/>
  <c r="F171" i="11"/>
  <c r="H171" i="11" s="1"/>
  <c r="CZ5" i="11"/>
  <c r="CY6" i="11"/>
  <c r="F175" i="11" l="1"/>
  <c r="E176" i="11" s="1"/>
  <c r="CZ6" i="11"/>
  <c r="DA5" i="11"/>
  <c r="H175" i="11" l="1"/>
  <c r="F176" i="11"/>
  <c r="E178" i="11" s="1"/>
  <c r="H176" i="11"/>
  <c r="DA6" i="11"/>
  <c r="DB5" i="11"/>
  <c r="F178" i="11" l="1"/>
  <c r="E180" i="11" s="1"/>
  <c r="H178" i="11"/>
  <c r="DC5" i="11"/>
  <c r="DB6" i="11"/>
  <c r="F180" i="11" l="1"/>
  <c r="H180" i="11"/>
  <c r="DC4" i="11"/>
  <c r="DC6" i="11"/>
  <c r="DD5" i="11"/>
  <c r="E181" i="11" l="1"/>
  <c r="E182" i="11"/>
  <c r="DE5" i="11"/>
  <c r="DD6" i="11"/>
  <c r="F182" i="11" l="1"/>
  <c r="E184" i="11" s="1"/>
  <c r="H182" i="11"/>
  <c r="F181" i="11"/>
  <c r="H181" i="11" s="1"/>
  <c r="DF5" i="11"/>
  <c r="DE6" i="11"/>
  <c r="F184" i="11" l="1"/>
  <c r="E185" i="11" s="1"/>
  <c r="H184" i="11"/>
  <c r="DF6" i="11"/>
  <c r="DG5" i="11"/>
  <c r="F185" i="11" l="1"/>
  <c r="E188" i="11" s="1"/>
  <c r="H185" i="11"/>
  <c r="DH5" i="11"/>
  <c r="DG6" i="11"/>
  <c r="F188" i="11" l="1"/>
  <c r="H188" i="11" s="1"/>
  <c r="DH6" i="11"/>
  <c r="DI5" i="11"/>
  <c r="E189" i="11" l="1"/>
  <c r="E190" i="11"/>
  <c r="DJ5" i="11"/>
  <c r="DI6" i="11"/>
  <c r="F190" i="11" l="1"/>
  <c r="H190" i="11"/>
  <c r="F189" i="11"/>
  <c r="DJ6" i="11"/>
  <c r="DK5" i="11"/>
  <c r="DJ4" i="11"/>
  <c r="E193" i="11" l="1"/>
  <c r="E191" i="11"/>
  <c r="H189" i="11"/>
  <c r="DL5" i="11"/>
  <c r="DK6" i="11"/>
  <c r="F191" i="11" l="1"/>
  <c r="H191" i="11"/>
  <c r="F193" i="11"/>
  <c r="E194" i="11" s="1"/>
  <c r="DL6" i="11"/>
  <c r="DM5" i="11"/>
  <c r="H193" i="11" l="1"/>
  <c r="F194" i="11"/>
  <c r="E197" i="11" s="1"/>
  <c r="H194" i="11"/>
  <c r="DN5" i="11"/>
  <c r="DM6" i="11"/>
  <c r="F197" i="11" l="1"/>
  <c r="H197" i="11" s="1"/>
  <c r="DO5" i="11"/>
  <c r="DN6" i="11"/>
  <c r="E198" i="11" l="1"/>
  <c r="E199" i="11"/>
  <c r="DP5" i="11"/>
  <c r="DO6" i="11"/>
  <c r="F199" i="11" l="1"/>
  <c r="E201" i="11" s="1"/>
  <c r="H199" i="11"/>
  <c r="F198" i="11"/>
  <c r="H198" i="11" s="1"/>
  <c r="DP6" i="11"/>
  <c r="DQ5" i="11"/>
  <c r="F201" i="11" l="1"/>
  <c r="E202" i="11" s="1"/>
  <c r="H201" i="11"/>
  <c r="DR5" i="11"/>
  <c r="DQ6" i="11"/>
  <c r="DQ4" i="11"/>
  <c r="F202" i="11" l="1"/>
  <c r="E205" i="11" s="1"/>
  <c r="DR6" i="11"/>
  <c r="DS5" i="11"/>
  <c r="H202" i="11" l="1"/>
  <c r="F205" i="11"/>
  <c r="H205" i="11"/>
  <c r="DS6" i="11"/>
  <c r="DT5" i="11"/>
  <c r="E206" i="11" l="1"/>
  <c r="E207" i="11"/>
  <c r="DU5" i="11"/>
  <c r="DT6" i="11"/>
  <c r="F207" i="11" l="1"/>
  <c r="E209" i="11" s="1"/>
  <c r="F206" i="11"/>
  <c r="H206" i="11"/>
  <c r="DV5" i="11"/>
  <c r="DU6" i="11"/>
  <c r="H207" i="11" l="1"/>
  <c r="F209" i="11"/>
  <c r="E210" i="11" s="1"/>
  <c r="DV6" i="11"/>
  <c r="DW5" i="11"/>
  <c r="H209" i="11" l="1"/>
  <c r="F210" i="11"/>
  <c r="E213" i="11" s="1"/>
  <c r="DX5" i="11"/>
  <c r="DW6" i="11"/>
  <c r="H210" i="11" l="1"/>
  <c r="F213" i="11"/>
  <c r="E214" i="11" s="1"/>
  <c r="H213" i="11"/>
  <c r="DY5" i="11"/>
  <c r="DX4" i="11"/>
  <c r="DX6" i="11"/>
  <c r="F214" i="11" l="1"/>
  <c r="E216" i="11" s="1"/>
  <c r="H214" i="11"/>
  <c r="DY6" i="11"/>
  <c r="DZ5" i="11"/>
  <c r="F216" i="11" l="1"/>
  <c r="E217" i="11" s="1"/>
  <c r="EA5" i="11"/>
  <c r="DZ6" i="11"/>
  <c r="H216" i="11" l="1"/>
  <c r="F217" i="11"/>
  <c r="E219" i="11" s="1"/>
  <c r="H217" i="11"/>
  <c r="EA6" i="11"/>
  <c r="EB5" i="11"/>
  <c r="F219" i="11" l="1"/>
  <c r="E220" i="11" s="1"/>
  <c r="H219" i="11"/>
  <c r="EB6" i="11"/>
  <c r="EC5" i="11"/>
  <c r="F220" i="11" l="1"/>
  <c r="E222" i="11" s="1"/>
  <c r="H220" i="11"/>
  <c r="EC6" i="11"/>
  <c r="ED5" i="11"/>
  <c r="ED6" i="11" s="1"/>
  <c r="F222" i="11" l="1"/>
  <c r="E223" i="11" s="1"/>
  <c r="H222" i="11"/>
  <c r="F223" i="11" l="1"/>
  <c r="E225" i="11" s="1"/>
  <c r="H223" i="11"/>
  <c r="F225" i="11" l="1"/>
  <c r="E226" i="11" s="1"/>
  <c r="H225" i="11" l="1"/>
  <c r="F226" i="11"/>
  <c r="H226" i="11"/>
  <c r="E231" i="11" l="1"/>
  <c r="E228" i="11"/>
  <c r="F228" i="11" l="1"/>
  <c r="E229" i="11" s="1"/>
  <c r="H228" i="11"/>
  <c r="F231" i="11"/>
  <c r="E232" i="11" s="1"/>
  <c r="H231" i="11" l="1"/>
  <c r="F232" i="11"/>
  <c r="E234" i="11" s="1"/>
  <c r="F229" i="11"/>
  <c r="H229" i="11" s="1"/>
  <c r="H232" i="11" l="1"/>
  <c r="F234" i="11"/>
  <c r="E235" i="11" s="1"/>
  <c r="H234" i="11"/>
  <c r="F235" i="11" l="1"/>
  <c r="E237" i="11" s="1"/>
  <c r="H235" i="11"/>
  <c r="F237" i="11" l="1"/>
  <c r="E238" i="11" s="1"/>
  <c r="H237" i="11"/>
  <c r="F238" i="11" l="1"/>
  <c r="E240" i="11" s="1"/>
  <c r="H238" i="11" l="1"/>
  <c r="F240" i="11"/>
  <c r="E241" i="11" s="1"/>
  <c r="H240" i="11"/>
  <c r="F241" i="11" l="1"/>
  <c r="E243" i="11" s="1"/>
  <c r="H241" i="11"/>
  <c r="F243" i="11" l="1"/>
  <c r="E244" i="11" s="1"/>
  <c r="F244" i="11" l="1"/>
  <c r="E246" i="11" s="1"/>
  <c r="H244" i="11"/>
  <c r="H243" i="11"/>
  <c r="F246" i="11" l="1"/>
  <c r="E247" i="11" s="1"/>
  <c r="F247" i="11" l="1"/>
  <c r="E250" i="11" s="1"/>
  <c r="H247" i="11"/>
  <c r="H246" i="11"/>
  <c r="F250" i="11" l="1"/>
  <c r="E254" i="11" s="1"/>
  <c r="H250" i="11"/>
  <c r="F254" i="11" l="1"/>
  <c r="E255" i="11" s="1"/>
  <c r="H254" i="11"/>
  <c r="F255" i="11" l="1"/>
  <c r="H255" i="11"/>
  <c r="E257" i="11" l="1"/>
  <c r="E258" i="11"/>
  <c r="F257" i="11"/>
  <c r="H257" i="11"/>
  <c r="F258" i="11" l="1"/>
  <c r="E260" i="11" s="1"/>
  <c r="H258" i="11"/>
  <c r="F260" i="11" l="1"/>
  <c r="E261" i="11" s="1"/>
  <c r="H260" i="11"/>
  <c r="F261" i="11" l="1"/>
  <c r="E264" i="11" s="1"/>
  <c r="H261" i="11"/>
  <c r="F264" i="11" l="1"/>
  <c r="E266" i="11" s="1"/>
  <c r="H264" i="11"/>
  <c r="F266" i="11" l="1"/>
  <c r="E268" i="11" s="1"/>
  <c r="H266" i="11"/>
  <c r="F268" i="11" l="1"/>
  <c r="E269" i="11" s="1"/>
  <c r="H268" i="11"/>
  <c r="F269" i="11" l="1"/>
  <c r="E271" i="11" s="1"/>
  <c r="H269" i="11" l="1"/>
  <c r="F271" i="11"/>
  <c r="E273" i="11" s="1"/>
  <c r="H271" i="11"/>
  <c r="F273" i="11" l="1"/>
  <c r="E275" i="11" s="1"/>
  <c r="H273" i="11"/>
  <c r="H275" i="11" l="1"/>
</calcChain>
</file>

<file path=xl/sharedStrings.xml><?xml version="1.0" encoding="utf-8"?>
<sst xmlns="http://schemas.openxmlformats.org/spreadsheetml/2006/main" count="580" uniqueCount="270">
  <si>
    <t>このワークシートでプロジェクトのスケジュール​​を作成します。
セル B1 には、このプロジェクトのタイトルを入力します。
このワークシートの使用方法に関する情報 (スクリーン リーダーの説明やブックの作成者など) は、"詳細情報" ワークシートに入ります。
列 A を下方に移動し続けると、さらに多くの情報を確認できます。</t>
  </si>
  <si>
    <t>セル B2 には会社の名前を入力します。</t>
  </si>
  <si>
    <t>セル B3 に、プロジェクト主任の名前を入力します。セル E3 には、プロジェクトの開始日を入力します。プロジェクトの開始: ラベルはセル C3 にあります。</t>
  </si>
  <si>
    <t>セル E4 の週表示は、セル I4 のプロジェクトのスケジュールに表示する開始週を表します。プロジェクトの開始日は、第 1 週と見なされます。週表示を変更するには、セル E4 に新しい週番号を入力します。
セル E4 の週表示から始まる各週の開始日は、セル I4 から始まり、自動計算されます。このビューには、セル I4 からセル BF4 までの 8 週間が表示されます。
これらのセルは変更しないでください。
週表示: ラベルはセル C4 にあります。</t>
  </si>
  <si>
    <t>セル I5 から BL5 には、各日付のセルの上にあるセル ブロック内に表示される週の日付の数字が含まれており、自動的に計算が行われます。
これらのセルは変更しないでください。
今日の日付は、行 5 の今日の日付からプロジェクト スケジュールの最後まで日付列全体が赤 (16 進値 #AD3815) で囲まれます。</t>
  </si>
  <si>
    <t>この行には、その下に続くプロジェクトのスケジュールの見出しが含まれます。
コンテンツを読み上げるには、B6 から BL 6 に移動します。その見出しの上にある日付の各曜日の最初の文字が、セル I6 から始まってセル BL6 まで続きます。
すべてのプロジェクトのタイムライン グラフは、条件付き書式を使用して、入力された開始日と終了日に基づいて自動生成されます。
セル I7 から始まる列 I 以降の列のセルの内容を変更しないでください。</t>
  </si>
  <si>
    <t xml:space="preserve">この行は削除しないでください。この行は、プロジェクトのスケジュール内にある現在の日付を強調表示するために使用されている数式を保持するために非表示になっています。 </t>
  </si>
  <si>
    <t>セル B8 には、フェーズ 1 のサンプルのタイトルが含まれます。
セル B8 に新しいタイトルを入力します。
プロジェクトに該当する場合は、セル C8 にフェーズを割り当てる名前を入力します。
プロジェクトに該当する場合は、セル D8 にフェーズ全体の進捗状況を入力します。
プロジェクトに該当する場合は、フェーズ全体の開始日と終了日をセル E8 と F8 に入力します。
ガント チャートは自動的に適切な日付を入力し、入力した進捗状況に応じて網かけを設定します。
フェーズを削除してタスクからのみ作業をするには、この行を削除するだけです。</t>
  </si>
  <si>
    <t xml:space="preserve">セル B9 には、サンプル タスク "タスク 1" が含まれます。
セル B9 に、新しいタスク名を入力します。
セル C9 にタスクを割り当てるユーザーを入力します。
セル D9 のタスクの進捗状況を入力します。進行状況バーは、セル内に表示され、セルの数に従って網かけを適用します。たとえば、50% の進捗状況はセルの半分に網かけを設定します。
セル E9 にタスクの開始日を入力します。
セル F9 にタスクの終了日を入力します。
入力した日付の網かけのステータス バーは、セル I9 から始まる BL9 までのブロックに表示されます。 </t>
  </si>
  <si>
    <t>行 10 から 13 は、行 9 のパターンを繰り返します。
このワークシート内のすべてのタスク行に対し、セル A9 の手順を繰り返します。サンプル データはすべて上書きします。
別のフェーズのサンプルは、セル A14 から始まります。
セル A10 から A13 までにタスクの入力を続けるか、セル A14 に移動して詳細を確認します。</t>
  </si>
  <si>
    <t>右のセルには、フェーズ 2 のサンプルのタイトルが含まれます。
B 列に、いつでも新しいフェーズを作成できます。このプロジェクトのスケジュールには、フェーズは不要です。フェーズを削除するには、行を削除するだけです。
この行に新しいフェーズ ブロックを作成するには、右のセルに新しいタイトルを入力します。
上記のフェーズにタスクの追加を続けるには、この行の 1 つ上に新しい行を入力し、セル A9 の説明のようにタスク データを入力します。
セル A8 の説明に基づいて右側のセルのフェーズの詳細情報を更新します。
詳細については、A 列のセルを下に移動します。
このワークシートに新しい行を追加していない場合は、セル B20 と B26 に 2 つの追加のサンプル フェーズ ブロックが作成され表示されます。それ以外の場合、A 列のセルを移動して追加のブロックを探します。
必要に応じて、セル A8 と A9 の手順を繰り返します。</t>
  </si>
  <si>
    <t>サンプル フェーズ タイトル ブロック</t>
  </si>
  <si>
    <t>これは空の行です</t>
  </si>
  <si>
    <t>会社名</t>
  </si>
  <si>
    <t>プロジェクト主任</t>
  </si>
  <si>
    <t>プロジェクトの開始:</t>
  </si>
  <si>
    <t>週表示:</t>
  </si>
  <si>
    <t>進捗状況</t>
  </si>
  <si>
    <t>開始</t>
  </si>
  <si>
    <t>終了</t>
  </si>
  <si>
    <t>日数</t>
  </si>
  <si>
    <t>シンプル ガント チャート (Vertex42.com)</t>
  </si>
  <si>
    <t>https://www.vertex42.com/ExcelTemplates/simple-gantt-chart.html</t>
  </si>
  <si>
    <t>このテンプレートについて</t>
  </si>
  <si>
    <t>このテンプレートを使用すると、プロジェクトの視覚化と管理に役立つガント チャートを簡単な方法で作成できます。タスクと開始日、終了日を入力するだけです。数式の入力は必要はありません。ガント チャートのバーは、タスクの期間を表し、条件付き書式を使用して表示されます。新しいタスクを挿入するには、新しい行を挿入します。</t>
  </si>
  <si>
    <t>スクリーン リーダーのガイド</t>
  </si>
  <si>
    <t>その他のヘルプ</t>
  </si>
  <si>
    <t>以下のリンクから Vertex42.com にアクセスし、このテンプレートの使用方法を詳しく学びます。たとえば、日数と稼働日の計算、タスクの依存関係を作成する、バーの色の変更、週表示を簡単に変更するためのスクロール バーを追加する方法、グラフに表示される日付範囲の拡大方法など。</t>
  </si>
  <si>
    <t>シンプル ガント チャートの使用方法</t>
  </si>
  <si>
    <t>その他のプロジェクト管理テンプレート</t>
  </si>
  <si>
    <t>Vertex42.com にアクセスして、さまざまな種類のプロジェクト スケジュール、ガント チャート、タスク リストなどのその他のプロジェクト管理テンプレートをダウンロードしてください。</t>
  </si>
  <si>
    <t>プロジェクト管理テンプレート</t>
  </si>
  <si>
    <t>Vertex42 について</t>
  </si>
  <si>
    <t>Vertex42.com では、企業、家庭、教育用に 300 を超える本格的なデザインのスプレッドシート テンプレートを提供しています。この大部分は無料でダウンロードすることができます。Vertex42.com のコレクションには、各種のカレンダー、プランナー、スケジュールに加えて、予算作成、債務削減、ローン返済用の個人の財務に関するスプレッドシートも含まれています。</t>
  </si>
  <si>
    <t>企業向けには、請求書、タイム シート、在庫管理、財務諸表、プロジェクト計画策定テンプレートがあります。学生と教師向けには、授業計画表、成績表、出席簿などのリソースがあります。献立表、チェックリスト、運動記録を使用して家族の生活を整理しましょう。各テンプレートは、数千のユーザーからのフィードバックを基に時間をかけて十分に研究、調整、改良されたものです。</t>
  </si>
  <si>
    <t>担当者</t>
    <phoneticPr fontId="28"/>
  </si>
  <si>
    <t>このブックには 2 つのワークシートがあります。
タイムシート
詳細情報
各ワークシートの説明は、各ワークシートの A 列のセル A1 から始まります。非表示のテキストで書き込まれます。各手順では、その行に含まれる情報について説明しています。明示的な指示がない限り、後続の各手順はセル A2、セル A3 といった順に格納されています。たとえば、説明テキストに、次の手順について "セル A6 に続く" と記載されている場合があります。
この非表示のテキストは印刷されません。
ワークシートからこれらの説明を削除する場合は、A 列を削除するだけです。</t>
  </si>
  <si>
    <t>ギャラクシーシューター（仮）</t>
    <rPh sb="12" eb="13">
      <t>カリ</t>
    </rPh>
    <phoneticPr fontId="28"/>
  </si>
  <si>
    <t>新谷　琥太郎</t>
    <rPh sb="0" eb="2">
      <t>シンタニ</t>
    </rPh>
    <rPh sb="3" eb="6">
      <t>コタロウ</t>
    </rPh>
    <phoneticPr fontId="28"/>
  </si>
  <si>
    <t>メイン</t>
    <phoneticPr fontId="28"/>
  </si>
  <si>
    <t>タスク</t>
    <phoneticPr fontId="28"/>
  </si>
  <si>
    <t>プレイヤー</t>
    <phoneticPr fontId="28"/>
  </si>
  <si>
    <t>宇宙船本体</t>
    <rPh sb="0" eb="3">
      <t>ウチュウセン</t>
    </rPh>
    <rPh sb="3" eb="5">
      <t>ホンタイ</t>
    </rPh>
    <phoneticPr fontId="28"/>
  </si>
  <si>
    <t>見た目を探す</t>
    <phoneticPr fontId="28"/>
  </si>
  <si>
    <t>見た目の実装</t>
    <phoneticPr fontId="28"/>
  </si>
  <si>
    <t>宇宙船の実装</t>
    <phoneticPr fontId="28"/>
  </si>
  <si>
    <t>移動(WASD)</t>
    <rPh sb="0" eb="2">
      <t>イドウ</t>
    </rPh>
    <phoneticPr fontId="28"/>
  </si>
  <si>
    <t>移動(WASD)の実装</t>
    <rPh sb="0" eb="2">
      <t>イドウ</t>
    </rPh>
    <rPh sb="9" eb="11">
      <t>ジッソウ</t>
    </rPh>
    <phoneticPr fontId="28"/>
  </si>
  <si>
    <t>低速移動の実装</t>
    <phoneticPr fontId="28"/>
  </si>
  <si>
    <t>視点移動</t>
    <rPh sb="0" eb="4">
      <t>シテンイドウ</t>
    </rPh>
    <phoneticPr fontId="28"/>
  </si>
  <si>
    <t>視点移動の実装</t>
    <rPh sb="0" eb="4">
      <t>シテンイドウ</t>
    </rPh>
    <rPh sb="5" eb="7">
      <t>ジッソウ</t>
    </rPh>
    <phoneticPr fontId="28"/>
  </si>
  <si>
    <t>弾を撃たせる</t>
    <rPh sb="0" eb="1">
      <t>タマ</t>
    </rPh>
    <rPh sb="2" eb="3">
      <t>ウ</t>
    </rPh>
    <phoneticPr fontId="28"/>
  </si>
  <si>
    <t>弾の見た目を探す</t>
    <phoneticPr fontId="28"/>
  </si>
  <si>
    <t>弾の見た目を実装</t>
    <phoneticPr fontId="28"/>
  </si>
  <si>
    <t>左クリックで弾を撃てるようにする</t>
    <phoneticPr fontId="28"/>
  </si>
  <si>
    <t>弾の実装</t>
    <phoneticPr fontId="28"/>
  </si>
  <si>
    <t>当たり判定</t>
    <rPh sb="0" eb="1">
      <t>ア</t>
    </rPh>
    <rPh sb="3" eb="5">
      <t>ハンテイ</t>
    </rPh>
    <phoneticPr fontId="28"/>
  </si>
  <si>
    <t>当たり判定の実装</t>
    <rPh sb="0" eb="1">
      <t>ア</t>
    </rPh>
    <rPh sb="3" eb="5">
      <t>ハンテイ</t>
    </rPh>
    <rPh sb="6" eb="8">
      <t>ジッソウ</t>
    </rPh>
    <phoneticPr fontId="28"/>
  </si>
  <si>
    <t>HP</t>
    <phoneticPr fontId="28"/>
  </si>
  <si>
    <t>ステージ</t>
    <phoneticPr fontId="28"/>
  </si>
  <si>
    <t>ステージの広さを決める(XYZ)</t>
    <phoneticPr fontId="28"/>
  </si>
  <si>
    <t>・見た目の実装</t>
    <phoneticPr fontId="28"/>
  </si>
  <si>
    <t>境界線の実装（ステージの端）</t>
    <phoneticPr fontId="28"/>
  </si>
  <si>
    <t>ステージの実装</t>
    <phoneticPr fontId="28"/>
  </si>
  <si>
    <t>UI</t>
    <phoneticPr fontId="28"/>
  </si>
  <si>
    <t>残り時間を表示</t>
    <phoneticPr fontId="28"/>
  </si>
  <si>
    <t>現在スコアを表示</t>
    <phoneticPr fontId="28"/>
  </si>
  <si>
    <t>現在座標の表示（最優先）</t>
    <rPh sb="8" eb="11">
      <t>サイユウセン</t>
    </rPh>
    <phoneticPr fontId="28"/>
  </si>
  <si>
    <t>敵の残り数を表示</t>
    <phoneticPr fontId="28"/>
  </si>
  <si>
    <t>ステージ本体</t>
    <rPh sb="4" eb="6">
      <t>ホンタイ</t>
    </rPh>
    <phoneticPr fontId="28"/>
  </si>
  <si>
    <t>時間</t>
    <rPh sb="0" eb="2">
      <t>ジカン</t>
    </rPh>
    <phoneticPr fontId="28"/>
  </si>
  <si>
    <t>スコア</t>
    <phoneticPr fontId="28"/>
  </si>
  <si>
    <t>座標</t>
    <rPh sb="0" eb="2">
      <t>ザヒョウ</t>
    </rPh>
    <phoneticPr fontId="28"/>
  </si>
  <si>
    <t>敵の残り数</t>
    <rPh sb="0" eb="1">
      <t>テキ</t>
    </rPh>
    <rPh sb="2" eb="3">
      <t>ノコ</t>
    </rPh>
    <rPh sb="4" eb="5">
      <t>カズ</t>
    </rPh>
    <phoneticPr fontId="28"/>
  </si>
  <si>
    <t>プレイヤーのHPの見た目を探す</t>
    <phoneticPr fontId="28"/>
  </si>
  <si>
    <t>プレイヤーのHPの見た目を実装</t>
    <phoneticPr fontId="28"/>
  </si>
  <si>
    <t>プレイヤーのHPの実装</t>
    <phoneticPr fontId="28"/>
  </si>
  <si>
    <t>敵１</t>
    <rPh sb="0" eb="1">
      <t>テキ</t>
    </rPh>
    <phoneticPr fontId="28"/>
  </si>
  <si>
    <t>弾を撃たせる</t>
    <phoneticPr fontId="28"/>
  </si>
  <si>
    <t>プレイヤー追尾</t>
    <phoneticPr fontId="28"/>
  </si>
  <si>
    <t>プレイヤー追尾を実装</t>
    <phoneticPr fontId="28"/>
  </si>
  <si>
    <t>範囲内のプレイヤーを見つける機能を実装</t>
    <rPh sb="0" eb="3">
      <t>ハンイナイ</t>
    </rPh>
    <rPh sb="10" eb="11">
      <t>ミ</t>
    </rPh>
    <rPh sb="14" eb="16">
      <t>キノウ</t>
    </rPh>
    <rPh sb="17" eb="19">
      <t>ジッソウ</t>
    </rPh>
    <phoneticPr fontId="28"/>
  </si>
  <si>
    <t>出現演出</t>
    <phoneticPr fontId="28"/>
  </si>
  <si>
    <t>狭間の見た目を探す</t>
    <phoneticPr fontId="28"/>
  </si>
  <si>
    <t>狭間の見た目を実装</t>
    <phoneticPr fontId="28"/>
  </si>
  <si>
    <t>狭間の実装</t>
    <phoneticPr fontId="28"/>
  </si>
  <si>
    <t>狭間に敵を沸かせる機能を実装</t>
    <rPh sb="3" eb="4">
      <t>テキ</t>
    </rPh>
    <rPh sb="5" eb="6">
      <t>ワ</t>
    </rPh>
    <rPh sb="9" eb="11">
      <t>キノウ</t>
    </rPh>
    <phoneticPr fontId="28"/>
  </si>
  <si>
    <t>当たり判定</t>
    <phoneticPr fontId="28"/>
  </si>
  <si>
    <t>当たり判定の実装</t>
    <phoneticPr fontId="28"/>
  </si>
  <si>
    <t>敵１のギミック</t>
    <rPh sb="0" eb="1">
      <t>テキ</t>
    </rPh>
    <phoneticPr fontId="28"/>
  </si>
  <si>
    <t>普通の弾を出す</t>
    <rPh sb="0" eb="2">
      <t>フツウ</t>
    </rPh>
    <rPh sb="3" eb="4">
      <t>タマ</t>
    </rPh>
    <rPh sb="5" eb="6">
      <t>ダ</t>
    </rPh>
    <phoneticPr fontId="28"/>
  </si>
  <si>
    <t>敵２</t>
    <rPh sb="0" eb="1">
      <t>テキ</t>
    </rPh>
    <phoneticPr fontId="28"/>
  </si>
  <si>
    <t>敵２のギミック</t>
    <rPh sb="0" eb="1">
      <t>テキ</t>
    </rPh>
    <phoneticPr fontId="28"/>
  </si>
  <si>
    <t>敵（全体）</t>
    <rPh sb="0" eb="1">
      <t>テキ</t>
    </rPh>
    <rPh sb="2" eb="4">
      <t>ゼンタイ</t>
    </rPh>
    <phoneticPr fontId="28"/>
  </si>
  <si>
    <t>前方にシールドを貼る機能を実装</t>
    <rPh sb="0" eb="2">
      <t>ゼンポウ</t>
    </rPh>
    <rPh sb="8" eb="9">
      <t>ハ</t>
    </rPh>
    <rPh sb="10" eb="12">
      <t>キノウ</t>
    </rPh>
    <rPh sb="13" eb="15">
      <t>ジッソウ</t>
    </rPh>
    <phoneticPr fontId="28"/>
  </si>
  <si>
    <t>何回か打たれるとシールドが壊れる機能を実装</t>
    <rPh sb="0" eb="2">
      <t>ナンカイ</t>
    </rPh>
    <rPh sb="3" eb="4">
      <t>ウ</t>
    </rPh>
    <rPh sb="13" eb="14">
      <t>コワ</t>
    </rPh>
    <rPh sb="16" eb="18">
      <t>キノウ</t>
    </rPh>
    <rPh sb="19" eb="21">
      <t>ジッソウ</t>
    </rPh>
    <phoneticPr fontId="28"/>
  </si>
  <si>
    <t>一定時間たつとシールドが再生する機能を実装</t>
    <rPh sb="0" eb="4">
      <t>イッテイジカン</t>
    </rPh>
    <rPh sb="12" eb="14">
      <t>サイセイ</t>
    </rPh>
    <rPh sb="16" eb="18">
      <t>キノウ</t>
    </rPh>
    <rPh sb="19" eb="21">
      <t>ジッソウ</t>
    </rPh>
    <phoneticPr fontId="28"/>
  </si>
  <si>
    <t>敵３</t>
    <rPh sb="0" eb="1">
      <t>テキ</t>
    </rPh>
    <phoneticPr fontId="28"/>
  </si>
  <si>
    <t>敵３のギミック</t>
    <rPh sb="0" eb="1">
      <t>テキ</t>
    </rPh>
    <phoneticPr fontId="28"/>
  </si>
  <si>
    <t>プレイヤーに近づく機能を実装</t>
    <rPh sb="6" eb="7">
      <t>チカ</t>
    </rPh>
    <rPh sb="9" eb="11">
      <t>キノウ</t>
    </rPh>
    <rPh sb="12" eb="14">
      <t>ジッソウ</t>
    </rPh>
    <phoneticPr fontId="28"/>
  </si>
  <si>
    <t>プレイヤーの一定範囲内に入ると自爆する機能を実装</t>
    <rPh sb="6" eb="8">
      <t>イッテイ</t>
    </rPh>
    <rPh sb="8" eb="10">
      <t>ハンイ</t>
    </rPh>
    <rPh sb="10" eb="11">
      <t>ナイ</t>
    </rPh>
    <rPh sb="12" eb="13">
      <t>ハイ</t>
    </rPh>
    <rPh sb="15" eb="17">
      <t>ジバク</t>
    </rPh>
    <rPh sb="19" eb="21">
      <t>キノウ</t>
    </rPh>
    <rPh sb="22" eb="24">
      <t>ジッソウ</t>
    </rPh>
    <phoneticPr fontId="28"/>
  </si>
  <si>
    <t>敵４</t>
    <rPh sb="0" eb="1">
      <t>テキ</t>
    </rPh>
    <phoneticPr fontId="28"/>
  </si>
  <si>
    <t>敵４のギミック</t>
    <rPh sb="0" eb="1">
      <t>テキ</t>
    </rPh>
    <phoneticPr fontId="28"/>
  </si>
  <si>
    <t>移動速度を早く設定</t>
    <rPh sb="0" eb="4">
      <t>イドウソクド</t>
    </rPh>
    <rPh sb="5" eb="6">
      <t>ハヤ</t>
    </rPh>
    <rPh sb="7" eb="9">
      <t>セッテイ</t>
    </rPh>
    <phoneticPr fontId="28"/>
  </si>
  <si>
    <t>敵５</t>
    <rPh sb="0" eb="1">
      <t>テキ</t>
    </rPh>
    <phoneticPr fontId="28"/>
  </si>
  <si>
    <t>敵５のギミック</t>
    <rPh sb="0" eb="1">
      <t>テキ</t>
    </rPh>
    <phoneticPr fontId="28"/>
  </si>
  <si>
    <t>デバフの効果を実装</t>
    <rPh sb="4" eb="6">
      <t>コウカ</t>
    </rPh>
    <rPh sb="7" eb="9">
      <t>ジッソウ</t>
    </rPh>
    <phoneticPr fontId="28"/>
  </si>
  <si>
    <t>プレイヤーから一定の距離を保つ機能を実装</t>
    <rPh sb="7" eb="9">
      <t>イッテイ</t>
    </rPh>
    <rPh sb="10" eb="12">
      <t>キョリ</t>
    </rPh>
    <rPh sb="13" eb="14">
      <t>タモ</t>
    </rPh>
    <rPh sb="15" eb="17">
      <t>キノウ</t>
    </rPh>
    <rPh sb="18" eb="20">
      <t>ジッソウ</t>
    </rPh>
    <phoneticPr fontId="28"/>
  </si>
  <si>
    <t>弾を撃つことと距離を置くことの優先度を実装</t>
    <rPh sb="0" eb="1">
      <t>タマ</t>
    </rPh>
    <rPh sb="2" eb="3">
      <t>ウ</t>
    </rPh>
    <rPh sb="7" eb="9">
      <t>キョリ</t>
    </rPh>
    <rPh sb="10" eb="11">
      <t>オ</t>
    </rPh>
    <rPh sb="15" eb="18">
      <t>ユウセンド</t>
    </rPh>
    <rPh sb="19" eb="21">
      <t>ジッソウ</t>
    </rPh>
    <phoneticPr fontId="28"/>
  </si>
  <si>
    <t>基本点</t>
    <rPh sb="0" eb="3">
      <t>キホンテン</t>
    </rPh>
    <phoneticPr fontId="28"/>
  </si>
  <si>
    <t>弾が当たった時にスコアの加点を実装</t>
    <rPh sb="0" eb="1">
      <t>タマ</t>
    </rPh>
    <rPh sb="2" eb="3">
      <t>ア</t>
    </rPh>
    <rPh sb="6" eb="7">
      <t>トキ</t>
    </rPh>
    <rPh sb="12" eb="14">
      <t>カテン</t>
    </rPh>
    <rPh sb="15" eb="17">
      <t>ジッソウ</t>
    </rPh>
    <phoneticPr fontId="28"/>
  </si>
  <si>
    <t>敵が倒れた時にスコアの加点を実装</t>
    <rPh sb="0" eb="1">
      <t>テキ</t>
    </rPh>
    <rPh sb="2" eb="3">
      <t>タオ</t>
    </rPh>
    <rPh sb="5" eb="6">
      <t>トキ</t>
    </rPh>
    <rPh sb="11" eb="13">
      <t>カテン</t>
    </rPh>
    <rPh sb="14" eb="16">
      <t>ジッソウ</t>
    </rPh>
    <phoneticPr fontId="28"/>
  </si>
  <si>
    <t>アイテムを取った時にスコアの加点を実装</t>
    <phoneticPr fontId="28"/>
  </si>
  <si>
    <t>倍率</t>
    <rPh sb="0" eb="2">
      <t>バイリツ</t>
    </rPh>
    <phoneticPr fontId="28"/>
  </si>
  <si>
    <t>残り時間によってスコア倍率が変わるのを実装</t>
    <rPh sb="0" eb="1">
      <t>ノコ</t>
    </rPh>
    <rPh sb="2" eb="4">
      <t>ジカン</t>
    </rPh>
    <rPh sb="11" eb="13">
      <t>バイリツ</t>
    </rPh>
    <rPh sb="14" eb="15">
      <t>カ</t>
    </rPh>
    <rPh sb="19" eb="21">
      <t>ジッソウ</t>
    </rPh>
    <phoneticPr fontId="28"/>
  </si>
  <si>
    <t>コンボでスコア倍率が変わるように実装</t>
    <rPh sb="7" eb="9">
      <t>バイリツ</t>
    </rPh>
    <rPh sb="10" eb="11">
      <t>カ</t>
    </rPh>
    <rPh sb="16" eb="18">
      <t>ジッソウ</t>
    </rPh>
    <phoneticPr fontId="28"/>
  </si>
  <si>
    <t>スコアアイテムを取った時にスコア倍率が変わるのを実装</t>
    <phoneticPr fontId="28"/>
  </si>
  <si>
    <t>タイトル画面</t>
    <rPh sb="4" eb="6">
      <t>ガメン</t>
    </rPh>
    <phoneticPr fontId="28"/>
  </si>
  <si>
    <t>タイトル画面のUI</t>
    <rPh sb="4" eb="6">
      <t>ガメン</t>
    </rPh>
    <phoneticPr fontId="28"/>
  </si>
  <si>
    <t>タイトル画面のUIを作る</t>
    <rPh sb="4" eb="6">
      <t>ガメン</t>
    </rPh>
    <rPh sb="10" eb="11">
      <t>ツク</t>
    </rPh>
    <phoneticPr fontId="28"/>
  </si>
  <si>
    <t>ゲームプレイ移行ボタンの実装</t>
    <rPh sb="6" eb="8">
      <t>イコウ</t>
    </rPh>
    <rPh sb="12" eb="14">
      <t>ジッソウ</t>
    </rPh>
    <phoneticPr fontId="28"/>
  </si>
  <si>
    <t>タイトルの背景</t>
    <phoneticPr fontId="28"/>
  </si>
  <si>
    <t>タイトルの背景を探す</t>
    <phoneticPr fontId="28"/>
  </si>
  <si>
    <t>タイトルの背景を実装</t>
    <rPh sb="5" eb="7">
      <t>ハイケイ</t>
    </rPh>
    <rPh sb="8" eb="10">
      <t>ジッソウ</t>
    </rPh>
    <phoneticPr fontId="28"/>
  </si>
  <si>
    <t>設定画面移行ボタンの実装</t>
    <phoneticPr fontId="28"/>
  </si>
  <si>
    <t>ゲーム終了ボタンの実装</t>
    <rPh sb="3" eb="5">
      <t>シュウリョウ</t>
    </rPh>
    <rPh sb="9" eb="11">
      <t>ジッソウ</t>
    </rPh>
    <phoneticPr fontId="28"/>
  </si>
  <si>
    <t>ゲームクリア画面</t>
    <phoneticPr fontId="28"/>
  </si>
  <si>
    <t>ゲームクリア画面のUI</t>
    <rPh sb="6" eb="8">
      <t>ガメン</t>
    </rPh>
    <phoneticPr fontId="28"/>
  </si>
  <si>
    <t>ゲームクリア画面のUIを作る</t>
    <phoneticPr fontId="28"/>
  </si>
  <si>
    <t>リプレイボタンの実装</t>
    <rPh sb="8" eb="10">
      <t>ジッソウ</t>
    </rPh>
    <phoneticPr fontId="28"/>
  </si>
  <si>
    <t>タイトルへ戻るボタンの実装</t>
    <phoneticPr fontId="28"/>
  </si>
  <si>
    <t>ゲームクリア画面の背景</t>
    <phoneticPr fontId="28"/>
  </si>
  <si>
    <t>ゲームクリア画面の背景を探す</t>
    <phoneticPr fontId="28"/>
  </si>
  <si>
    <t>ゲームクリア画面の背景を実装</t>
    <rPh sb="6" eb="8">
      <t>ガメン</t>
    </rPh>
    <rPh sb="9" eb="11">
      <t>ハイケイ</t>
    </rPh>
    <rPh sb="12" eb="14">
      <t>ジッソウ</t>
    </rPh>
    <phoneticPr fontId="28"/>
  </si>
  <si>
    <t>ゲームオーバー画面</t>
    <phoneticPr fontId="28"/>
  </si>
  <si>
    <t>ゲームオーバー画面のUI</t>
    <rPh sb="7" eb="9">
      <t>ガメン</t>
    </rPh>
    <phoneticPr fontId="28"/>
  </si>
  <si>
    <t>ゲームオーバー画面のUIを作る</t>
    <phoneticPr fontId="28"/>
  </si>
  <si>
    <t>ゲームオーバー画面の背景</t>
    <phoneticPr fontId="28"/>
  </si>
  <si>
    <t>ゲームオーバー画面の背景を探す</t>
    <phoneticPr fontId="28"/>
  </si>
  <si>
    <t>ゲームオーバー画面の背景を実装</t>
    <rPh sb="7" eb="9">
      <t>ガメン</t>
    </rPh>
    <rPh sb="10" eb="12">
      <t>ハイケイ</t>
    </rPh>
    <rPh sb="13" eb="15">
      <t>ジッソウ</t>
    </rPh>
    <phoneticPr fontId="28"/>
  </si>
  <si>
    <t>SE</t>
    <phoneticPr fontId="28"/>
  </si>
  <si>
    <t>隕石破壊のSE</t>
    <rPh sb="0" eb="2">
      <t>インセキ</t>
    </rPh>
    <rPh sb="2" eb="4">
      <t>ハカイ</t>
    </rPh>
    <phoneticPr fontId="28"/>
  </si>
  <si>
    <t>隕石破壊のSEを探す</t>
    <phoneticPr fontId="28"/>
  </si>
  <si>
    <t>隕石破壊のSEを実装</t>
    <phoneticPr fontId="28"/>
  </si>
  <si>
    <t>漂流物破壊のSE</t>
    <rPh sb="0" eb="2">
      <t>ヒョウリュウ</t>
    </rPh>
    <rPh sb="2" eb="3">
      <t>ブツ</t>
    </rPh>
    <rPh sb="3" eb="5">
      <t>ハカイ</t>
    </rPh>
    <phoneticPr fontId="28"/>
  </si>
  <si>
    <t>漂流物破壊のSEを探す</t>
    <phoneticPr fontId="28"/>
  </si>
  <si>
    <t>漂流物破壊のSEを実装</t>
    <phoneticPr fontId="28"/>
  </si>
  <si>
    <t>アイテムを拾った時のSE</t>
    <rPh sb="5" eb="6">
      <t>ヒロ</t>
    </rPh>
    <rPh sb="8" eb="9">
      <t>トキ</t>
    </rPh>
    <phoneticPr fontId="28"/>
  </si>
  <si>
    <t>アイテムを拾った時のSEを探す</t>
    <phoneticPr fontId="28"/>
  </si>
  <si>
    <t>アイテムを拾った時のSEを実装</t>
    <phoneticPr fontId="28"/>
  </si>
  <si>
    <t>時空間移動のSE</t>
    <rPh sb="0" eb="2">
      <t>ジクウ</t>
    </rPh>
    <rPh sb="2" eb="3">
      <t>カン</t>
    </rPh>
    <rPh sb="3" eb="5">
      <t>イドウ</t>
    </rPh>
    <phoneticPr fontId="28"/>
  </si>
  <si>
    <t>時空間移動のSEを探す</t>
    <phoneticPr fontId="28"/>
  </si>
  <si>
    <t>時空間移動のSEを実装</t>
    <phoneticPr fontId="28"/>
  </si>
  <si>
    <t>ボタンクリックのSE</t>
    <phoneticPr fontId="28"/>
  </si>
  <si>
    <t>ボタンクリックのSEを探す</t>
    <phoneticPr fontId="28"/>
  </si>
  <si>
    <t>ボタンクリックのSEを実装</t>
    <phoneticPr fontId="28"/>
  </si>
  <si>
    <t>弾のSEを実装</t>
    <rPh sb="0" eb="1">
      <t>タマ</t>
    </rPh>
    <phoneticPr fontId="28"/>
  </si>
  <si>
    <t>弾のSEを探す</t>
    <rPh sb="0" eb="1">
      <t>タマ</t>
    </rPh>
    <phoneticPr fontId="28"/>
  </si>
  <si>
    <t>弾のSE</t>
    <rPh sb="0" eb="1">
      <t>タマ</t>
    </rPh>
    <phoneticPr fontId="28"/>
  </si>
  <si>
    <t>敵の撃破SE</t>
    <rPh sb="0" eb="1">
      <t>テキ</t>
    </rPh>
    <rPh sb="2" eb="4">
      <t>ゲキハ</t>
    </rPh>
    <phoneticPr fontId="28"/>
  </si>
  <si>
    <t>敵の撃破SEを探す</t>
    <phoneticPr fontId="28"/>
  </si>
  <si>
    <t>敵の撃破SEを実装</t>
    <phoneticPr fontId="28"/>
  </si>
  <si>
    <t>ステージ音楽</t>
    <rPh sb="4" eb="6">
      <t>オンガク</t>
    </rPh>
    <phoneticPr fontId="28"/>
  </si>
  <si>
    <t>ステージ音楽を探す</t>
    <phoneticPr fontId="28"/>
  </si>
  <si>
    <t>ステージ音楽を実装</t>
    <phoneticPr fontId="28"/>
  </si>
  <si>
    <t>タイトル音楽</t>
    <rPh sb="4" eb="6">
      <t>オンガク</t>
    </rPh>
    <phoneticPr fontId="28"/>
  </si>
  <si>
    <t>タイトル音楽を探す</t>
    <phoneticPr fontId="28"/>
  </si>
  <si>
    <t>タイトル音楽を実装</t>
    <phoneticPr fontId="28"/>
  </si>
  <si>
    <t>ゲームクリア音楽</t>
    <rPh sb="6" eb="8">
      <t>オンガク</t>
    </rPh>
    <phoneticPr fontId="28"/>
  </si>
  <si>
    <t>ゲームクリア音楽を探す</t>
    <phoneticPr fontId="28"/>
  </si>
  <si>
    <t>ゲームクリア音楽を実装</t>
    <phoneticPr fontId="28"/>
  </si>
  <si>
    <t>ゲームオーバー音楽</t>
    <rPh sb="7" eb="9">
      <t>オンガク</t>
    </rPh>
    <phoneticPr fontId="28"/>
  </si>
  <si>
    <t>ゲームオーバー音楽を探す</t>
    <phoneticPr fontId="28"/>
  </si>
  <si>
    <t>ゲームオーバー音楽を実装</t>
    <phoneticPr fontId="28"/>
  </si>
  <si>
    <t>その他</t>
    <rPh sb="2" eb="3">
      <t>タ</t>
    </rPh>
    <phoneticPr fontId="28"/>
  </si>
  <si>
    <t>マウスカーソルの非表示</t>
    <rPh sb="8" eb="11">
      <t>ヒヒョウジ</t>
    </rPh>
    <phoneticPr fontId="28"/>
  </si>
  <si>
    <t>マウスカーソルを非表示にする</t>
    <phoneticPr fontId="28"/>
  </si>
  <si>
    <t>アイテム</t>
    <phoneticPr fontId="28"/>
  </si>
  <si>
    <t>隕石</t>
    <rPh sb="0" eb="2">
      <t>インセキ</t>
    </rPh>
    <phoneticPr fontId="28"/>
  </si>
  <si>
    <t>漂流物</t>
    <rPh sb="0" eb="3">
      <t>ヒョウリュウブツ</t>
    </rPh>
    <phoneticPr fontId="28"/>
  </si>
  <si>
    <t>見た目を探す</t>
    <rPh sb="0" eb="1">
      <t>ミ</t>
    </rPh>
    <rPh sb="2" eb="3">
      <t>メ</t>
    </rPh>
    <rPh sb="4" eb="5">
      <t>サガ</t>
    </rPh>
    <phoneticPr fontId="28"/>
  </si>
  <si>
    <t>見た目の実装</t>
    <rPh sb="0" eb="1">
      <t>ミ</t>
    </rPh>
    <rPh sb="2" eb="3">
      <t>メ</t>
    </rPh>
    <rPh sb="4" eb="6">
      <t>ジッソウ</t>
    </rPh>
    <phoneticPr fontId="28"/>
  </si>
  <si>
    <t>壊れた時にアイテムドロップを実装</t>
    <phoneticPr fontId="28"/>
  </si>
  <si>
    <t>隕石の実装</t>
    <phoneticPr fontId="28"/>
  </si>
  <si>
    <t>漂流物の実装</t>
    <rPh sb="0" eb="3">
      <t>ヒョウリュウブツ</t>
    </rPh>
    <phoneticPr fontId="28"/>
  </si>
  <si>
    <t>回復</t>
    <rPh sb="0" eb="2">
      <t>カイフク</t>
    </rPh>
    <phoneticPr fontId="28"/>
  </si>
  <si>
    <t>効果の実装</t>
    <phoneticPr fontId="28"/>
  </si>
  <si>
    <t>回復アイテムの実装</t>
    <rPh sb="0" eb="2">
      <t>カイフク</t>
    </rPh>
    <rPh sb="7" eb="9">
      <t>ジッソウ</t>
    </rPh>
    <phoneticPr fontId="28"/>
  </si>
  <si>
    <t>弾の強化</t>
    <rPh sb="0" eb="1">
      <t>タマ</t>
    </rPh>
    <rPh sb="2" eb="4">
      <t>キョウカ</t>
    </rPh>
    <phoneticPr fontId="28"/>
  </si>
  <si>
    <t>弾の強化アイテムを実装</t>
    <rPh sb="0" eb="1">
      <t>タマ</t>
    </rPh>
    <rPh sb="2" eb="4">
      <t>キョウカ</t>
    </rPh>
    <rPh sb="9" eb="11">
      <t>ジッソウ</t>
    </rPh>
    <phoneticPr fontId="28"/>
  </si>
  <si>
    <t>時空間移動</t>
    <phoneticPr fontId="28"/>
  </si>
  <si>
    <t>効果</t>
    <phoneticPr fontId="28"/>
  </si>
  <si>
    <t>時間が止まる機能を実装</t>
    <rPh sb="0" eb="2">
      <t>ジカン</t>
    </rPh>
    <rPh sb="3" eb="4">
      <t>ト</t>
    </rPh>
    <rPh sb="6" eb="8">
      <t>キノウ</t>
    </rPh>
    <rPh sb="9" eb="11">
      <t>ジッソウ</t>
    </rPh>
    <phoneticPr fontId="28"/>
  </si>
  <si>
    <t>効果の実装</t>
    <rPh sb="0" eb="2">
      <t>コウカ</t>
    </rPh>
    <rPh sb="3" eb="5">
      <t>ジッソウ</t>
    </rPh>
    <phoneticPr fontId="28"/>
  </si>
  <si>
    <t>ボタン</t>
    <phoneticPr fontId="28"/>
  </si>
  <si>
    <t>ボタンの実装</t>
    <rPh sb="4" eb="6">
      <t>ジッソウ</t>
    </rPh>
    <phoneticPr fontId="28"/>
  </si>
  <si>
    <t>クールタイム</t>
    <phoneticPr fontId="28"/>
  </si>
  <si>
    <t>クールタイムの実装</t>
    <rPh sb="7" eb="9">
      <t>ジッソウ</t>
    </rPh>
    <phoneticPr fontId="28"/>
  </si>
  <si>
    <t>クールタイムの設定</t>
    <rPh sb="7" eb="9">
      <t>セッテイ</t>
    </rPh>
    <phoneticPr fontId="28"/>
  </si>
  <si>
    <t>使用可能の通知の実装</t>
    <phoneticPr fontId="28"/>
  </si>
  <si>
    <t>使用時間</t>
    <phoneticPr fontId="28"/>
  </si>
  <si>
    <t>使用時間の実装</t>
    <rPh sb="0" eb="2">
      <t>シヨウ</t>
    </rPh>
    <rPh sb="2" eb="4">
      <t>ジカン</t>
    </rPh>
    <rPh sb="5" eb="7">
      <t>ジッソウ</t>
    </rPh>
    <phoneticPr fontId="28"/>
  </si>
  <si>
    <t>使用時間の設定</t>
    <rPh sb="0" eb="2">
      <t>シヨウ</t>
    </rPh>
    <rPh sb="2" eb="4">
      <t>ジカン</t>
    </rPh>
    <rPh sb="5" eb="7">
      <t>セッテイ</t>
    </rPh>
    <phoneticPr fontId="28"/>
  </si>
  <si>
    <t>出来れば入れたい機能</t>
    <rPh sb="0" eb="2">
      <t>デキ</t>
    </rPh>
    <rPh sb="4" eb="5">
      <t>イ</t>
    </rPh>
    <rPh sb="8" eb="10">
      <t>キノウ</t>
    </rPh>
    <phoneticPr fontId="28"/>
  </si>
  <si>
    <t>設定画面</t>
    <phoneticPr fontId="28"/>
  </si>
  <si>
    <t>設定画面のUI</t>
    <phoneticPr fontId="28"/>
  </si>
  <si>
    <t>設定画面を作る</t>
    <phoneticPr fontId="28"/>
  </si>
  <si>
    <t>調節バーを作る</t>
    <phoneticPr fontId="28"/>
  </si>
  <si>
    <t>視点移動感度</t>
    <phoneticPr fontId="28"/>
  </si>
  <si>
    <t>視点移動感度を調節できるようにする</t>
    <phoneticPr fontId="28"/>
  </si>
  <si>
    <t>音の調節</t>
    <phoneticPr fontId="28"/>
  </si>
  <si>
    <t>音を調節できるようにする</t>
    <phoneticPr fontId="28"/>
  </si>
  <si>
    <t>その他</t>
    <phoneticPr fontId="28"/>
  </si>
  <si>
    <t>マウスカーソルを銃のレティクルにする</t>
    <phoneticPr fontId="28"/>
  </si>
  <si>
    <t>左クリックをおすと銃が撃たれたみたいなUIにしたい</t>
    <phoneticPr fontId="28"/>
  </si>
  <si>
    <t>通信機UIを作る</t>
    <phoneticPr fontId="28"/>
  </si>
  <si>
    <t>通信機から映像がでてきて喋るみたいなことをしたい</t>
    <phoneticPr fontId="28"/>
  </si>
  <si>
    <t>太陽が近くにあるステージを作って熱さダメージを作りたい</t>
    <phoneticPr fontId="28"/>
  </si>
  <si>
    <t>タイトル</t>
    <phoneticPr fontId="28"/>
  </si>
  <si>
    <t>ゲームスタートしたときに背景の宇宙船がとびだす演出を実装したい</t>
    <phoneticPr fontId="28"/>
  </si>
  <si>
    <t>熱ダメージを無効化するアイテムを作る</t>
    <rPh sb="0" eb="1">
      <t>ネツ</t>
    </rPh>
    <rPh sb="6" eb="9">
      <t>ムコウカ</t>
    </rPh>
    <rPh sb="16" eb="17">
      <t>ツク</t>
    </rPh>
    <phoneticPr fontId="28"/>
  </si>
  <si>
    <t>マップ</t>
    <phoneticPr fontId="28"/>
  </si>
  <si>
    <t>丸いマップを作ってセンサーにひかかった敵をあぶりだすようにしたい</t>
    <phoneticPr fontId="28"/>
  </si>
  <si>
    <t>ボタン選択のSE</t>
    <rPh sb="3" eb="5">
      <t>センタク</t>
    </rPh>
    <phoneticPr fontId="28"/>
  </si>
  <si>
    <t>ボタン選択のSEを探す</t>
    <rPh sb="3" eb="5">
      <t>センタク</t>
    </rPh>
    <phoneticPr fontId="28"/>
  </si>
  <si>
    <t>ボタン選択のSEを実装</t>
    <rPh sb="3" eb="5">
      <t>センタク</t>
    </rPh>
    <phoneticPr fontId="28"/>
  </si>
  <si>
    <t>ダメージを受けるとHPが減る機能を実装</t>
    <rPh sb="5" eb="6">
      <t>ウ</t>
    </rPh>
    <rPh sb="12" eb="13">
      <t>ヘ</t>
    </rPh>
    <rPh sb="14" eb="16">
      <t>キノウ</t>
    </rPh>
    <rPh sb="17" eb="19">
      <t>ジッソウ</t>
    </rPh>
    <phoneticPr fontId="28"/>
  </si>
  <si>
    <t>弾を撃つ機能を実装</t>
    <rPh sb="2" eb="3">
      <t>ウ</t>
    </rPh>
    <rPh sb="4" eb="6">
      <t>キノウ</t>
    </rPh>
    <phoneticPr fontId="28"/>
  </si>
  <si>
    <t>敵１の見た目を探す</t>
    <rPh sb="0" eb="1">
      <t>テキ</t>
    </rPh>
    <phoneticPr fontId="28"/>
  </si>
  <si>
    <t>敵１の見た目を実装</t>
    <rPh sb="0" eb="1">
      <t>テキ</t>
    </rPh>
    <phoneticPr fontId="28"/>
  </si>
  <si>
    <t>敵の見た目</t>
    <rPh sb="0" eb="1">
      <t>テキ</t>
    </rPh>
    <rPh sb="2" eb="3">
      <t>ミ</t>
    </rPh>
    <rPh sb="4" eb="5">
      <t>メ</t>
    </rPh>
    <phoneticPr fontId="28"/>
  </si>
  <si>
    <t>敵２の見た目を探す</t>
    <rPh sb="0" eb="1">
      <t>テキ</t>
    </rPh>
    <phoneticPr fontId="28"/>
  </si>
  <si>
    <t>敵２の見た目を実装</t>
    <rPh sb="0" eb="1">
      <t>テキ</t>
    </rPh>
    <phoneticPr fontId="28"/>
  </si>
  <si>
    <t>敵１の実装</t>
    <rPh sb="0" eb="1">
      <t>テキ</t>
    </rPh>
    <phoneticPr fontId="28"/>
  </si>
  <si>
    <t>敵２の実装</t>
    <rPh sb="0" eb="1">
      <t>テキ</t>
    </rPh>
    <phoneticPr fontId="28"/>
  </si>
  <si>
    <t>敵３の見た目を探す</t>
    <rPh sb="0" eb="1">
      <t>テキ</t>
    </rPh>
    <phoneticPr fontId="28"/>
  </si>
  <si>
    <t>敵３の見た目を実装</t>
    <rPh sb="0" eb="1">
      <t>テキ</t>
    </rPh>
    <phoneticPr fontId="28"/>
  </si>
  <si>
    <t>敵３の実装</t>
    <rPh sb="0" eb="1">
      <t>テキ</t>
    </rPh>
    <phoneticPr fontId="28"/>
  </si>
  <si>
    <t>敵４の見た目を探す</t>
    <rPh sb="0" eb="1">
      <t>テキ</t>
    </rPh>
    <phoneticPr fontId="28"/>
  </si>
  <si>
    <t>敵４の見た目を実装</t>
    <rPh sb="0" eb="1">
      <t>テキ</t>
    </rPh>
    <phoneticPr fontId="28"/>
  </si>
  <si>
    <t>敵４の実装</t>
    <rPh sb="0" eb="1">
      <t>テキ</t>
    </rPh>
    <phoneticPr fontId="28"/>
  </si>
  <si>
    <t>敵５の見た目を探す</t>
    <rPh sb="0" eb="1">
      <t>テキ</t>
    </rPh>
    <phoneticPr fontId="28"/>
  </si>
  <si>
    <t>敵５の見た目を実装</t>
    <rPh sb="0" eb="1">
      <t>テキ</t>
    </rPh>
    <phoneticPr fontId="28"/>
  </si>
  <si>
    <t>敵５の実装</t>
    <rPh sb="0" eb="1">
      <t>テキ</t>
    </rPh>
    <phoneticPr fontId="28"/>
  </si>
  <si>
    <t>弾の当たり判定を実装</t>
    <rPh sb="2" eb="3">
      <t>ア</t>
    </rPh>
    <rPh sb="5" eb="7">
      <t>ハンテイ</t>
    </rPh>
    <phoneticPr fontId="28"/>
  </si>
  <si>
    <t>弾の当たり判定を実装</t>
    <rPh sb="0" eb="1">
      <t>タマ</t>
    </rPh>
    <rPh sb="2" eb="3">
      <t>ア</t>
    </rPh>
    <rPh sb="5" eb="7">
      <t>ハンテイ</t>
    </rPh>
    <rPh sb="8" eb="10">
      <t>ジッソウ</t>
    </rPh>
    <phoneticPr fontId="28"/>
  </si>
  <si>
    <t>テストプレイ①</t>
    <phoneticPr fontId="28"/>
  </si>
  <si>
    <t>テストプレイ</t>
    <phoneticPr fontId="28"/>
  </si>
  <si>
    <t>バグを見つけた場合修正</t>
    <rPh sb="3" eb="4">
      <t>ミ</t>
    </rPh>
    <rPh sb="7" eb="9">
      <t>バアイ</t>
    </rPh>
    <rPh sb="9" eb="11">
      <t>シュウセイ</t>
    </rPh>
    <phoneticPr fontId="28"/>
  </si>
  <si>
    <t>一旦UIを作りに行く</t>
    <rPh sb="0" eb="2">
      <t>イッタン</t>
    </rPh>
    <rPh sb="5" eb="6">
      <t>ツク</t>
    </rPh>
    <rPh sb="8" eb="9">
      <t>イ</t>
    </rPh>
    <phoneticPr fontId="28"/>
  </si>
  <si>
    <t>ボス</t>
    <phoneticPr fontId="28"/>
  </si>
  <si>
    <t>ボスの見た目</t>
    <rPh sb="3" eb="4">
      <t>ミ</t>
    </rPh>
    <rPh sb="5" eb="6">
      <t>メ</t>
    </rPh>
    <phoneticPr fontId="28"/>
  </si>
  <si>
    <t>ボスの見た目を探す</t>
    <phoneticPr fontId="28"/>
  </si>
  <si>
    <t>ボスの見た目を実装</t>
    <phoneticPr fontId="28"/>
  </si>
  <si>
    <t>ボスの実装</t>
    <phoneticPr fontId="28"/>
  </si>
  <si>
    <t>一定量敵が倒されるとボスが出現するギミックを実装</t>
    <rPh sb="0" eb="3">
      <t>イッテイリョウ</t>
    </rPh>
    <rPh sb="3" eb="4">
      <t>テキ</t>
    </rPh>
    <rPh sb="5" eb="6">
      <t>タオ</t>
    </rPh>
    <rPh sb="13" eb="15">
      <t>シュツゲン</t>
    </rPh>
    <rPh sb="22" eb="24">
      <t>ジッソウ</t>
    </rPh>
    <phoneticPr fontId="28"/>
  </si>
  <si>
    <t>弾幕を撃つ機能を実装</t>
    <rPh sb="0" eb="2">
      <t>ダンマク</t>
    </rPh>
    <rPh sb="3" eb="4">
      <t>ウ</t>
    </rPh>
    <rPh sb="5" eb="7">
      <t>キノウ</t>
    </rPh>
    <rPh sb="8" eb="10">
      <t>ジッソウ</t>
    </rPh>
    <phoneticPr fontId="28"/>
  </si>
  <si>
    <t>シールドを付けるのを実装</t>
    <phoneticPr fontId="28"/>
  </si>
  <si>
    <t>ボスのギミック</t>
    <phoneticPr fontId="28"/>
  </si>
  <si>
    <t>レーザービームを実装</t>
    <rPh sb="8" eb="10">
      <t>ジッソウ</t>
    </rPh>
    <phoneticPr fontId="28"/>
  </si>
  <si>
    <t>周りに雑魚敵を出す機能を実装</t>
    <rPh sb="0" eb="1">
      <t>マワ</t>
    </rPh>
    <rPh sb="3" eb="5">
      <t>ザコ</t>
    </rPh>
    <rPh sb="5" eb="6">
      <t>テキ</t>
    </rPh>
    <rPh sb="7" eb="8">
      <t>ダ</t>
    </rPh>
    <rPh sb="9" eb="11">
      <t>キノウ</t>
    </rPh>
    <rPh sb="12" eb="14">
      <t>ジッソウ</t>
    </rPh>
    <phoneticPr fontId="28"/>
  </si>
  <si>
    <t>シールドを壊すとダウンを実装</t>
    <rPh sb="5" eb="6">
      <t>コワ</t>
    </rPh>
    <rPh sb="12" eb="14">
      <t>ジッソウ</t>
    </rPh>
    <phoneticPr fontId="28"/>
  </si>
  <si>
    <t>復帰時にシールド回復を実装</t>
    <rPh sb="0" eb="3">
      <t>フッキジ</t>
    </rPh>
    <rPh sb="8" eb="10">
      <t>カイフク</t>
    </rPh>
    <rPh sb="11" eb="13">
      <t>ジッソウ</t>
    </rPh>
    <phoneticPr fontId="28"/>
  </si>
  <si>
    <t>ボス討伐時にクリアへ移動</t>
    <rPh sb="2" eb="5">
      <t>トウバツジ</t>
    </rPh>
    <rPh sb="10" eb="12">
      <t>イドウ</t>
    </rPh>
    <phoneticPr fontId="28"/>
  </si>
  <si>
    <t>ボスの体力バーを実装</t>
    <rPh sb="3" eb="5">
      <t>タイリョク</t>
    </rPh>
    <rPh sb="8" eb="10">
      <t>ジッソウ</t>
    </rPh>
    <phoneticPr fontId="28"/>
  </si>
  <si>
    <t>ボスの名前を実装</t>
    <rPh sb="3" eb="5">
      <t>ナマエ</t>
    </rPh>
    <rPh sb="6" eb="8">
      <t>ジッソウ</t>
    </rPh>
    <phoneticPr fontId="28"/>
  </si>
  <si>
    <t>体力が削れる機能を実装</t>
    <rPh sb="0" eb="2">
      <t>タイリョク</t>
    </rPh>
    <rPh sb="3" eb="4">
      <t>ケズ</t>
    </rPh>
    <rPh sb="6" eb="8">
      <t>キノウ</t>
    </rPh>
    <rPh sb="9" eb="11">
      <t>ジッソウ</t>
    </rPh>
    <phoneticPr fontId="28"/>
  </si>
  <si>
    <t>テストプレイ②</t>
    <phoneticPr fontId="28"/>
  </si>
  <si>
    <t>テストプレイ③</t>
    <phoneticPr fontId="28"/>
  </si>
  <si>
    <t>バグを見つけた場合修正</t>
    <phoneticPr fontId="2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</si>
</sst>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 &quot;¥&quot;* #,##0_ ;_ &quot;¥&quot;* \-#,##0_ ;_ &quot;¥&quot;* &quot;-&quot;_ ;_ @_ "/>
    <numFmt numFmtId="44" formatCode="_ &quot;¥&quot;* #,##0.00_ ;_ &quot;¥&quot;* \-#,##0.00_ ;_ &quot;¥&quot;* &quot;-&quot;??_ ;_ @_ "/>
    <numFmt numFmtId="176" formatCode="_(* #,##0_);_(* \(#,##0\);_(* &quot;-&quot;_);_(@_)"/>
    <numFmt numFmtId="177" formatCode="_(* #,##0.00_);_(* \(#,##0.00\);_(* &quot;-&quot;??_);_(@_)"/>
    <numFmt numFmtId="178" formatCode="m/d/yy;@"/>
    <numFmt numFmtId="179" formatCode="aaa\,\ yyyy/m/d"/>
    <numFmt numFmtId="180" formatCode="d"/>
  </numFmts>
  <fonts count="42" x14ac:knownFonts="1">
    <font>
      <sz val="11"/>
      <color theme="1"/>
      <name val="Meiryo UI"/>
      <family val="2"/>
    </font>
    <font>
      <sz val="11"/>
      <color theme="1"/>
      <name val="Meiryo UI"/>
      <family val="2"/>
    </font>
    <font>
      <sz val="11"/>
      <color theme="0"/>
      <name val="Meiryo UI"/>
      <family val="2"/>
    </font>
    <font>
      <sz val="11"/>
      <color rgb="FF9C0006"/>
      <name val="Meiryo UI"/>
      <family val="2"/>
    </font>
    <font>
      <b/>
      <sz val="11"/>
      <color rgb="FFFA7D00"/>
      <name val="Meiryo UI"/>
      <family val="2"/>
    </font>
    <font>
      <b/>
      <sz val="11"/>
      <color theme="0"/>
      <name val="Meiryo UI"/>
      <family val="2"/>
    </font>
    <font>
      <i/>
      <sz val="11"/>
      <color rgb="FF7F7F7F"/>
      <name val="Meiryo UI"/>
      <family val="2"/>
    </font>
    <font>
      <u/>
      <sz val="11"/>
      <color theme="11"/>
      <name val="Meiryo UI"/>
      <family val="2"/>
    </font>
    <font>
      <sz val="11"/>
      <color rgb="FF006100"/>
      <name val="Meiryo UI"/>
      <family val="2"/>
    </font>
    <font>
      <sz val="14"/>
      <color theme="1"/>
      <name val="Meiryo UI"/>
      <family val="2"/>
    </font>
    <font>
      <b/>
      <sz val="11"/>
      <color theme="3"/>
      <name val="Meiryo UI"/>
      <family val="2"/>
    </font>
    <font>
      <u/>
      <sz val="11"/>
      <color indexed="12"/>
      <name val="Meiryo UI"/>
      <family val="2"/>
    </font>
    <font>
      <sz val="11"/>
      <color rgb="FF3F3F76"/>
      <name val="Meiryo UI"/>
      <family val="2"/>
    </font>
    <font>
      <sz val="11"/>
      <color rgb="FFFA7D00"/>
      <name val="Meiryo UI"/>
      <family val="2"/>
    </font>
    <font>
      <sz val="11"/>
      <color rgb="FF9C5700"/>
      <name val="Meiryo UI"/>
      <family val="2"/>
    </font>
    <font>
      <b/>
      <sz val="11"/>
      <color rgb="FF3F3F3F"/>
      <name val="Meiryo UI"/>
      <family val="2"/>
    </font>
    <font>
      <b/>
      <sz val="22"/>
      <color theme="1" tint="0.34998626667073579"/>
      <name val="Meiryo UI"/>
      <family val="2"/>
    </font>
    <font>
      <b/>
      <sz val="11"/>
      <color theme="1"/>
      <name val="Meiryo UI"/>
      <family val="2"/>
    </font>
    <font>
      <sz val="11"/>
      <color rgb="FFFF0000"/>
      <name val="Meiryo UI"/>
      <family val="2"/>
    </font>
    <font>
      <b/>
      <sz val="20"/>
      <color theme="4" tint="-0.249977111117893"/>
      <name val="Meiryo UI"/>
      <family val="2"/>
    </font>
    <font>
      <sz val="10"/>
      <name val="Meiryo UI"/>
      <family val="2"/>
    </font>
    <font>
      <b/>
      <sz val="11"/>
      <name val="Meiryo UI"/>
      <family val="2"/>
    </font>
    <font>
      <sz val="9"/>
      <name val="Meiryo UI"/>
      <family val="2"/>
    </font>
    <font>
      <b/>
      <sz val="9"/>
      <color theme="0"/>
      <name val="Meiryo UI"/>
      <family val="2"/>
    </font>
    <font>
      <sz val="8"/>
      <color theme="0"/>
      <name val="Meiryo UI"/>
      <family val="2"/>
    </font>
    <font>
      <sz val="11"/>
      <name val="Meiryo UI"/>
      <family val="2"/>
    </font>
    <font>
      <sz val="10"/>
      <color theme="1" tint="0.499984740745262"/>
      <name val="Meiryo UI"/>
      <family val="2"/>
    </font>
    <font>
      <b/>
      <sz val="11"/>
      <color theme="1" tint="0.499984740745262"/>
      <name val="Meiryo UI"/>
      <family val="2"/>
    </font>
    <font>
      <sz val="6"/>
      <name val="ＭＳ Ｐゴシック"/>
      <family val="3"/>
      <charset val="128"/>
    </font>
    <font>
      <sz val="10"/>
      <name val="Meiryo UI"/>
      <family val="3"/>
      <charset val="128"/>
    </font>
    <font>
      <b/>
      <sz val="12"/>
      <color theme="1" tint="0.34998626667073579"/>
      <name val="Meiryo UI"/>
      <family val="3"/>
      <charset val="128"/>
    </font>
    <font>
      <b/>
      <sz val="10"/>
      <name val="Meiryo UI"/>
      <family val="3"/>
      <charset val="128"/>
    </font>
    <font>
      <sz val="11"/>
      <name val="Meiryo UI"/>
      <family val="3"/>
      <charset val="128"/>
    </font>
    <font>
      <sz val="11"/>
      <color theme="1" tint="0.499984740745262"/>
      <name val="Meiryo UI"/>
      <family val="3"/>
      <charset val="128"/>
    </font>
    <font>
      <b/>
      <sz val="16"/>
      <color theme="4" tint="-0.249977111117893"/>
      <name val="Meiryo UI"/>
      <family val="3"/>
      <charset val="128"/>
    </font>
    <font>
      <sz val="20"/>
      <name val="Meiryo UI"/>
      <family val="3"/>
      <charset val="128"/>
    </font>
    <font>
      <sz val="11"/>
      <color rgb="FF1D2129"/>
      <name val="Meiryo UI"/>
      <family val="3"/>
      <charset val="128"/>
    </font>
    <font>
      <sz val="11"/>
      <color theme="1"/>
      <name val="Meiryo UI"/>
      <family val="3"/>
      <charset val="128"/>
    </font>
    <font>
      <u/>
      <sz val="11"/>
      <color indexed="12"/>
      <name val="Meiryo UI"/>
      <family val="3"/>
      <charset val="128"/>
    </font>
    <font>
      <b/>
      <sz val="11"/>
      <color theme="1"/>
      <name val="Meiryo UI"/>
      <family val="3"/>
      <charset val="128"/>
    </font>
    <font>
      <b/>
      <sz val="11"/>
      <color theme="0"/>
      <name val="Meiryo UI"/>
      <family val="3"/>
      <charset val="128"/>
    </font>
    <font>
      <b/>
      <i/>
      <sz val="11"/>
      <color theme="1"/>
      <name val="Meiryo UI"/>
      <family val="3"/>
      <charset val="128"/>
    </font>
  </fonts>
  <fills count="39">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11" fillId="0" borderId="0" applyNumberFormat="0" applyFill="0" applyBorder="0" applyAlignment="0" applyProtection="0">
      <alignment vertical="top"/>
      <protection locked="0"/>
    </xf>
    <xf numFmtId="9" fontId="1" fillId="0" borderId="0" applyFont="0" applyFill="0" applyBorder="0" applyAlignment="0" applyProtection="0"/>
    <xf numFmtId="0" fontId="2" fillId="0" borderId="0"/>
    <xf numFmtId="177" fontId="1" fillId="0" borderId="3" applyFont="0" applyFill="0" applyAlignment="0" applyProtection="0"/>
    <xf numFmtId="0" fontId="16"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1" fillId="0" borderId="0" applyNumberFormat="0" applyFill="0" applyProtection="0">
      <alignment horizontal="right" indent="1"/>
    </xf>
    <xf numFmtId="179" fontId="1" fillId="0" borderId="3">
      <alignment horizontal="center" vertical="center"/>
    </xf>
    <xf numFmtId="178" fontId="1" fillId="0" borderId="2" applyFill="0">
      <alignment horizontal="center" vertical="center"/>
    </xf>
    <xf numFmtId="0" fontId="1" fillId="0" borderId="2" applyFill="0">
      <alignment horizontal="center" vertical="center"/>
    </xf>
    <xf numFmtId="0" fontId="1" fillId="0" borderId="2" applyFill="0">
      <alignment horizontal="left" vertical="center" indent="2"/>
    </xf>
    <xf numFmtId="0" fontId="7" fillId="0" borderId="0" applyNumberFormat="0" applyFill="0" applyBorder="0" applyAlignment="0" applyProtection="0"/>
    <xf numFmtId="176"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0" fontId="10" fillId="0" borderId="0" applyNumberFormat="0" applyFill="0" applyBorder="0" applyAlignment="0" applyProtection="0"/>
    <xf numFmtId="0" fontId="8" fillId="8" borderId="0" applyNumberFormat="0" applyBorder="0" applyAlignment="0" applyProtection="0"/>
    <xf numFmtId="0" fontId="3" fillId="9" borderId="0" applyNumberFormat="0" applyBorder="0" applyAlignment="0" applyProtection="0"/>
    <xf numFmtId="0" fontId="14" fillId="10" borderId="0" applyNumberFormat="0" applyBorder="0" applyAlignment="0" applyProtection="0"/>
    <xf numFmtId="0" fontId="12" fillId="11" borderId="11" applyNumberFormat="0" applyAlignment="0" applyProtection="0"/>
    <xf numFmtId="0" fontId="15" fillId="12" borderId="12" applyNumberFormat="0" applyAlignment="0" applyProtection="0"/>
    <xf numFmtId="0" fontId="4" fillId="12" borderId="11" applyNumberFormat="0" applyAlignment="0" applyProtection="0"/>
    <xf numFmtId="0" fontId="13" fillId="0" borderId="13" applyNumberFormat="0" applyFill="0" applyAlignment="0" applyProtection="0"/>
    <xf numFmtId="0" fontId="5" fillId="13" borderId="14" applyNumberFormat="0" applyAlignment="0" applyProtection="0"/>
    <xf numFmtId="0" fontId="18" fillId="0" borderId="0" applyNumberFormat="0" applyFill="0" applyBorder="0" applyAlignment="0" applyProtection="0"/>
    <xf numFmtId="0" fontId="1" fillId="14" borderId="15" applyNumberFormat="0" applyFont="0" applyAlignment="0" applyProtection="0"/>
    <xf numFmtId="0" fontId="6" fillId="0" borderId="0" applyNumberFormat="0" applyFill="0" applyBorder="0" applyAlignment="0" applyProtection="0"/>
    <xf numFmtId="0" fontId="17" fillId="0" borderId="16" applyNumberFormat="0" applyFill="0" applyAlignment="0" applyProtection="0"/>
    <xf numFmtId="0" fontId="2"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2"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2"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2"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2"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2"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cellStyleXfs>
  <cellXfs count="87">
    <xf numFmtId="0" fontId="0" fillId="0" borderId="0" xfId="0"/>
    <xf numFmtId="0" fontId="0" fillId="0" borderId="0" xfId="0" applyAlignment="1">
      <alignment vertical="center"/>
    </xf>
    <xf numFmtId="0" fontId="0" fillId="0" borderId="0" xfId="0" applyAlignment="1">
      <alignment horizontal="center"/>
    </xf>
    <xf numFmtId="0" fontId="0" fillId="0" borderId="3" xfId="0"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2" fillId="0" borderId="0" xfId="3"/>
    <xf numFmtId="0" fontId="2" fillId="0" borderId="0" xfId="3" applyAlignment="1">
      <alignment wrapText="1"/>
    </xf>
    <xf numFmtId="0" fontId="0" fillId="0" borderId="0" xfId="0" applyAlignment="1">
      <alignment wrapText="1"/>
    </xf>
    <xf numFmtId="0" fontId="16" fillId="0" borderId="0" xfId="5" applyAlignment="1">
      <alignment horizontal="left"/>
    </xf>
    <xf numFmtId="0" fontId="9" fillId="0" borderId="0" xfId="6"/>
    <xf numFmtId="0" fontId="9" fillId="0" borderId="0" xfId="7">
      <alignment vertical="top"/>
    </xf>
    <xf numFmtId="0" fontId="1" fillId="5" borderId="2" xfId="11" applyFill="1">
      <alignment horizontal="center" vertical="center"/>
    </xf>
    <xf numFmtId="0" fontId="1" fillId="2" borderId="2" xfId="11" applyFill="1">
      <alignment horizontal="center" vertical="center"/>
    </xf>
    <xf numFmtId="0" fontId="1" fillId="3" borderId="2" xfId="11" applyFill="1">
      <alignment horizontal="center" vertical="center"/>
    </xf>
    <xf numFmtId="0" fontId="1" fillId="2" borderId="2" xfId="12" applyFill="1">
      <alignment horizontal="left" vertical="center" indent="2"/>
    </xf>
    <xf numFmtId="0" fontId="1" fillId="3" borderId="2" xfId="12" applyFill="1">
      <alignment horizontal="left" vertical="center" indent="2"/>
    </xf>
    <xf numFmtId="0" fontId="0" fillId="0" borderId="10" xfId="0" applyBorder="1"/>
    <xf numFmtId="0" fontId="19" fillId="0" borderId="0" xfId="0" applyFont="1" applyAlignment="1">
      <alignment horizontal="left"/>
    </xf>
    <xf numFmtId="0" fontId="20" fillId="0" borderId="0" xfId="0" applyFont="1"/>
    <xf numFmtId="0" fontId="20" fillId="0" borderId="0" xfId="0" applyFont="1" applyAlignment="1">
      <alignment horizontal="center"/>
    </xf>
    <xf numFmtId="0" fontId="20" fillId="0" borderId="0" xfId="0" applyFont="1" applyAlignment="1">
      <alignment horizontal="center" vertical="center"/>
    </xf>
    <xf numFmtId="0" fontId="21" fillId="0" borderId="0" xfId="0" applyFont="1"/>
    <xf numFmtId="0" fontId="20" fillId="0" borderId="0" xfId="1" applyFont="1" applyProtection="1">
      <alignment vertical="top"/>
    </xf>
    <xf numFmtId="0" fontId="23" fillId="7" borderId="1" xfId="0" applyFont="1" applyFill="1" applyBorder="1" applyAlignment="1">
      <alignment horizontal="left" vertical="center" indent="1"/>
    </xf>
    <xf numFmtId="0" fontId="23" fillId="7" borderId="1" xfId="0" applyFont="1" applyFill="1" applyBorder="1" applyAlignment="1">
      <alignment horizontal="center" vertical="center" wrapText="1"/>
    </xf>
    <xf numFmtId="0" fontId="24" fillId="6" borderId="8" xfId="0" applyFont="1" applyFill="1" applyBorder="1" applyAlignment="1">
      <alignment horizontal="center" vertical="center" shrinkToFit="1"/>
    </xf>
    <xf numFmtId="0" fontId="17" fillId="5" borderId="2" xfId="0" applyFont="1" applyFill="1" applyBorder="1" applyAlignment="1">
      <alignment horizontal="left" vertical="center" indent="1"/>
    </xf>
    <xf numFmtId="9" fontId="25" fillId="5" borderId="2" xfId="2" applyFont="1" applyFill="1" applyBorder="1" applyAlignment="1">
      <alignment horizontal="center" vertical="center"/>
    </xf>
    <xf numFmtId="0" fontId="25" fillId="0" borderId="2" xfId="0" applyFont="1" applyBorder="1" applyAlignment="1">
      <alignment horizontal="center" vertical="center"/>
    </xf>
    <xf numFmtId="9" fontId="25" fillId="2" borderId="2" xfId="2" applyFont="1" applyFill="1" applyBorder="1" applyAlignment="1">
      <alignment horizontal="center" vertical="center"/>
    </xf>
    <xf numFmtId="9" fontId="25" fillId="3" borderId="2" xfId="2" applyFont="1" applyFill="1" applyBorder="1" applyAlignment="1">
      <alignment horizontal="center" vertical="center"/>
    </xf>
    <xf numFmtId="0" fontId="27" fillId="0" borderId="0" xfId="0" applyFont="1"/>
    <xf numFmtId="0" fontId="2" fillId="0" borderId="0" xfId="0" applyFont="1" applyAlignment="1">
      <alignment horizontal="center"/>
    </xf>
    <xf numFmtId="0" fontId="26" fillId="0" borderId="0" xfId="1" applyFont="1" applyAlignment="1" applyProtection="1"/>
    <xf numFmtId="0" fontId="29" fillId="0" borderId="0" xfId="0" applyFont="1" applyAlignment="1">
      <alignment vertical="top"/>
    </xf>
    <xf numFmtId="0" fontId="29" fillId="0" borderId="0" xfId="0" applyFont="1"/>
    <xf numFmtId="0" fontId="30" fillId="0" borderId="0" xfId="0" applyFont="1" applyAlignment="1">
      <alignment horizontal="left" vertical="center"/>
    </xf>
    <xf numFmtId="0" fontId="31" fillId="0" borderId="0" xfId="0" applyFont="1" applyAlignment="1">
      <alignment horizontal="left" vertical="center"/>
    </xf>
    <xf numFmtId="0" fontId="32" fillId="0" borderId="0" xfId="0" applyFont="1" applyAlignment="1">
      <alignment vertical="top"/>
    </xf>
    <xf numFmtId="0" fontId="33" fillId="0" borderId="0" xfId="0" applyFont="1" applyAlignment="1">
      <alignment vertical="top"/>
    </xf>
    <xf numFmtId="0" fontId="29" fillId="0" borderId="0" xfId="0" applyFont="1" applyAlignment="1">
      <alignment horizontal="left" vertical="top"/>
    </xf>
    <xf numFmtId="0" fontId="34" fillId="0" borderId="0" xfId="0" applyFont="1" applyAlignment="1">
      <alignment vertical="center"/>
    </xf>
    <xf numFmtId="0" fontId="35" fillId="0" borderId="0" xfId="0" applyFont="1"/>
    <xf numFmtId="0" fontId="36" fillId="0" borderId="0" xfId="0" applyFont="1" applyAlignment="1">
      <alignment horizontal="left" vertical="top" wrapText="1" indent="1"/>
    </xf>
    <xf numFmtId="0" fontId="37" fillId="0" borderId="0" xfId="0" applyFont="1" applyAlignment="1">
      <alignment vertical="top" wrapText="1"/>
    </xf>
    <xf numFmtId="0" fontId="38" fillId="0" borderId="0" xfId="1" applyFont="1" applyAlignment="1" applyProtection="1">
      <alignment horizontal="left" vertical="top"/>
    </xf>
    <xf numFmtId="178" fontId="0" fillId="5" borderId="2" xfId="0" applyNumberFormat="1" applyFill="1" applyBorder="1" applyAlignment="1">
      <alignment horizontal="center" vertical="center"/>
    </xf>
    <xf numFmtId="178" fontId="25" fillId="5" borderId="2" xfId="0" applyNumberFormat="1" applyFont="1" applyFill="1" applyBorder="1" applyAlignment="1">
      <alignment horizontal="center" vertical="center"/>
    </xf>
    <xf numFmtId="178" fontId="1" fillId="2" borderId="2" xfId="10" applyNumberFormat="1" applyFill="1">
      <alignment horizontal="center" vertical="center"/>
    </xf>
    <xf numFmtId="178" fontId="1" fillId="3" borderId="2" xfId="10" applyNumberFormat="1" applyFill="1">
      <alignment horizontal="center" vertical="center"/>
    </xf>
    <xf numFmtId="180" fontId="22" fillId="4" borderId="6" xfId="0" applyNumberFormat="1" applyFont="1" applyFill="1" applyBorder="1" applyAlignment="1">
      <alignment horizontal="center" vertical="center"/>
    </xf>
    <xf numFmtId="180" fontId="22" fillId="4" borderId="0" xfId="0" applyNumberFormat="1" applyFont="1" applyFill="1" applyAlignment="1">
      <alignment horizontal="center" vertical="center"/>
    </xf>
    <xf numFmtId="180" fontId="22" fillId="4" borderId="7" xfId="0" applyNumberFormat="1" applyFont="1" applyFill="1" applyBorder="1" applyAlignment="1">
      <alignment horizontal="center" vertical="center"/>
    </xf>
    <xf numFmtId="0" fontId="1" fillId="18" borderId="2" xfId="33" applyBorder="1" applyAlignment="1">
      <alignment horizontal="center" vertical="center"/>
    </xf>
    <xf numFmtId="9" fontId="1" fillId="18" borderId="2" xfId="33" applyNumberFormat="1" applyBorder="1" applyAlignment="1">
      <alignment horizontal="center" vertical="center"/>
    </xf>
    <xf numFmtId="178" fontId="1" fillId="18" borderId="2" xfId="33" applyNumberFormat="1" applyBorder="1" applyAlignment="1">
      <alignment horizontal="center" vertical="center"/>
    </xf>
    <xf numFmtId="0" fontId="39" fillId="18" borderId="2" xfId="33" applyFont="1" applyBorder="1" applyAlignment="1">
      <alignment horizontal="left" vertical="center" indent="1"/>
    </xf>
    <xf numFmtId="0" fontId="2" fillId="15" borderId="2" xfId="30" applyBorder="1" applyAlignment="1">
      <alignment horizontal="center" vertical="center"/>
    </xf>
    <xf numFmtId="9" fontId="2" fillId="15" borderId="2" xfId="30" applyNumberFormat="1" applyBorder="1" applyAlignment="1">
      <alignment horizontal="center" vertical="center"/>
    </xf>
    <xf numFmtId="178" fontId="2" fillId="15" borderId="2" xfId="30" applyNumberFormat="1" applyBorder="1" applyAlignment="1">
      <alignment horizontal="center" vertical="center"/>
    </xf>
    <xf numFmtId="0" fontId="40" fillId="15" borderId="2" xfId="30" applyFont="1" applyBorder="1" applyAlignment="1">
      <alignment horizontal="left" vertical="center" indent="1"/>
    </xf>
    <xf numFmtId="0" fontId="1" fillId="2" borderId="2" xfId="12" applyFill="1" applyAlignment="1">
      <alignment horizontal="left" vertical="center" wrapText="1" indent="2"/>
    </xf>
    <xf numFmtId="0" fontId="2" fillId="19" borderId="2" xfId="34" applyBorder="1" applyAlignment="1">
      <alignment horizontal="left" vertical="center" indent="1"/>
    </xf>
    <xf numFmtId="0" fontId="2" fillId="19" borderId="2" xfId="34" applyBorder="1" applyAlignment="1">
      <alignment horizontal="center" vertical="center"/>
    </xf>
    <xf numFmtId="9" fontId="2" fillId="19" borderId="2" xfId="34" applyNumberFormat="1" applyBorder="1" applyAlignment="1">
      <alignment horizontal="center" vertical="center"/>
    </xf>
    <xf numFmtId="178" fontId="2" fillId="19" borderId="2" xfId="34" applyNumberFormat="1" applyBorder="1" applyAlignment="1">
      <alignment horizontal="center" vertical="center"/>
    </xf>
    <xf numFmtId="0" fontId="1" fillId="22" borderId="2" xfId="37" applyBorder="1" applyAlignment="1">
      <alignment horizontal="center" vertical="center"/>
    </xf>
    <xf numFmtId="9" fontId="1" fillId="22" borderId="2" xfId="37" applyNumberFormat="1" applyBorder="1" applyAlignment="1">
      <alignment horizontal="center" vertical="center"/>
    </xf>
    <xf numFmtId="178" fontId="1" fillId="22" borderId="2" xfId="37" applyNumberFormat="1" applyBorder="1" applyAlignment="1">
      <alignment horizontal="center" vertical="center"/>
    </xf>
    <xf numFmtId="0" fontId="41" fillId="22" borderId="2" xfId="37" applyFont="1" applyBorder="1" applyAlignment="1">
      <alignment horizontal="left" vertical="center" indent="1"/>
    </xf>
    <xf numFmtId="0" fontId="1" fillId="21" borderId="2" xfId="36" applyBorder="1" applyAlignment="1">
      <alignment horizontal="center" vertical="center"/>
    </xf>
    <xf numFmtId="9" fontId="1" fillId="21" borderId="2" xfId="36" applyNumberFormat="1" applyBorder="1" applyAlignment="1">
      <alignment horizontal="center" vertical="center"/>
    </xf>
    <xf numFmtId="178" fontId="1" fillId="21" borderId="2" xfId="36" applyNumberFormat="1" applyBorder="1" applyAlignment="1">
      <alignment horizontal="center" vertical="center"/>
    </xf>
    <xf numFmtId="0" fontId="39" fillId="21" borderId="2" xfId="36" applyFont="1" applyBorder="1" applyAlignment="1">
      <alignment horizontal="left" vertical="center" indent="1"/>
    </xf>
    <xf numFmtId="0" fontId="1" fillId="3" borderId="2" xfId="12" applyFill="1" applyAlignment="1">
      <alignment horizontal="left" vertical="center" wrapText="1" indent="2"/>
    </xf>
    <xf numFmtId="0" fontId="39" fillId="21" borderId="2" xfId="36" applyFont="1" applyBorder="1" applyAlignment="1">
      <alignment horizontal="left" vertical="center" wrapText="1" indent="1"/>
    </xf>
    <xf numFmtId="0" fontId="0" fillId="2" borderId="2" xfId="12" applyFont="1" applyFill="1" applyAlignment="1">
      <alignment horizontal="left" vertical="center" wrapText="1" indent="2"/>
    </xf>
    <xf numFmtId="178" fontId="0" fillId="2" borderId="2" xfId="10" applyNumberFormat="1" applyFont="1" applyFill="1">
      <alignment horizontal="center" vertical="center"/>
    </xf>
    <xf numFmtId="0" fontId="0" fillId="3" borderId="2" xfId="12" applyFont="1" applyFill="1">
      <alignment horizontal="left" vertical="center" indent="2"/>
    </xf>
    <xf numFmtId="0" fontId="0" fillId="3" borderId="2" xfId="12" applyFont="1" applyFill="1" applyAlignment="1">
      <alignment horizontal="left" vertical="center" wrapText="1" indent="2"/>
    </xf>
    <xf numFmtId="14" fontId="0" fillId="4" borderId="4" xfId="0" applyNumberFormat="1" applyFill="1" applyBorder="1" applyAlignment="1">
      <alignment horizontal="left" vertical="center" wrapText="1" indent="1"/>
    </xf>
    <xf numFmtId="14" fontId="0" fillId="4" borderId="1" xfId="0" applyNumberFormat="1" applyFill="1" applyBorder="1" applyAlignment="1">
      <alignment horizontal="left" vertical="center" wrapText="1" indent="1"/>
    </xf>
    <xf numFmtId="14" fontId="0" fillId="4" borderId="5" xfId="0" applyNumberFormat="1" applyFill="1" applyBorder="1" applyAlignment="1">
      <alignment horizontal="left" vertical="center" wrapText="1" indent="1"/>
    </xf>
    <xf numFmtId="179" fontId="1" fillId="0" borderId="3" xfId="9" applyNumberFormat="1">
      <alignment horizontal="center" vertical="center"/>
    </xf>
    <xf numFmtId="0" fontId="1" fillId="0" borderId="0" xfId="8">
      <alignment horizontal="right" indent="1"/>
    </xf>
    <xf numFmtId="0" fontId="1" fillId="0" borderId="7" xfId="8" applyBorder="1">
      <alignment horizontal="right" indent="1"/>
    </xf>
  </cellXfs>
  <cellStyles count="54">
    <cellStyle name="20% - アクセント 1" xfId="31" builtinId="30" customBuiltin="1"/>
    <cellStyle name="20% - アクセント 2" xfId="35" builtinId="34" customBuiltin="1"/>
    <cellStyle name="20% - アクセント 3" xfId="39" builtinId="38" customBuiltin="1"/>
    <cellStyle name="20% - アクセント 4" xfId="43" builtinId="42" customBuiltin="1"/>
    <cellStyle name="20% - アクセント 5" xfId="47" builtinId="46" customBuiltin="1"/>
    <cellStyle name="20% - アクセント 6" xfId="51" builtinId="50" customBuiltin="1"/>
    <cellStyle name="40% - アクセント 1" xfId="32" builtinId="31" customBuiltin="1"/>
    <cellStyle name="40% - アクセント 2" xfId="36" builtinId="35" customBuiltin="1"/>
    <cellStyle name="40% - アクセント 3" xfId="40" builtinId="39" customBuiltin="1"/>
    <cellStyle name="40% - アクセント 4" xfId="44" builtinId="43" customBuiltin="1"/>
    <cellStyle name="40% - アクセント 5" xfId="48" builtinId="47" customBuiltin="1"/>
    <cellStyle name="40% - アクセント 6" xfId="52" builtinId="51" customBuiltin="1"/>
    <cellStyle name="60% - アクセント 1" xfId="33" builtinId="32" customBuiltin="1"/>
    <cellStyle name="60% - アクセント 2" xfId="37" builtinId="36" customBuiltin="1"/>
    <cellStyle name="60% - アクセント 3" xfId="41" builtinId="40" customBuiltin="1"/>
    <cellStyle name="60% - アクセント 4" xfId="45" builtinId="44" customBuiltin="1"/>
    <cellStyle name="60% - アクセント 5" xfId="49" builtinId="48" customBuiltin="1"/>
    <cellStyle name="60% - アクセント 6" xfId="53" builtinId="52" customBuiltin="1"/>
    <cellStyle name="z_非表示_テキスト" xfId="3" xr:uid="{26E66EE6-E33F-4D77-BAE4-0FB4F5BBF673}"/>
    <cellStyle name="アクセント 1" xfId="30" builtinId="29" customBuiltin="1"/>
    <cellStyle name="アクセント 2" xfId="34" builtinId="33" customBuiltin="1"/>
    <cellStyle name="アクセント 3" xfId="38" builtinId="37" customBuiltin="1"/>
    <cellStyle name="アクセント 4" xfId="42" builtinId="41" customBuiltin="1"/>
    <cellStyle name="アクセント 5" xfId="46" builtinId="45" customBuiltin="1"/>
    <cellStyle name="アクセント 6" xfId="50" builtinId="49" customBuiltin="1"/>
    <cellStyle name="タイトル" xfId="5" builtinId="15" customBuiltin="1"/>
    <cellStyle name="タスク" xfId="12" xr:uid="{6391D789-272B-4DD2-9BF3-2CDCF610FA41}"/>
    <cellStyle name="チェック セル" xfId="25" builtinId="23" customBuiltin="1"/>
    <cellStyle name="どちらでもない" xfId="20" builtinId="28" customBuiltin="1"/>
    <cellStyle name="パーセント" xfId="2" builtinId="5" customBuiltin="1"/>
    <cellStyle name="ハイパーリンク" xfId="1" builtinId="8" customBuiltin="1"/>
    <cellStyle name="プロジェクトの開始" xfId="9" xr:uid="{8EB8A09A-C31C-40A3-B2C1-9449520178B8}"/>
    <cellStyle name="メモ" xfId="27" builtinId="10" customBuiltin="1"/>
    <cellStyle name="リンク セル" xfId="24" builtinId="24" customBuiltin="1"/>
    <cellStyle name="悪い" xfId="19" builtinId="27" customBuiltin="1"/>
    <cellStyle name="計算" xfId="23" builtinId="22" customBuiltin="1"/>
    <cellStyle name="警告文" xfId="26" builtinId="11" customBuiltin="1"/>
    <cellStyle name="桁区切り" xfId="14" builtinId="6" customBuiltin="1"/>
    <cellStyle name="桁区切り [0.00]" xfId="4" builtinId="3" customBuiltin="1"/>
    <cellStyle name="見出し 1" xfId="6" builtinId="16" customBuiltin="1"/>
    <cellStyle name="見出し 2" xfId="7" builtinId="17" customBuiltin="1"/>
    <cellStyle name="見出し 3" xfId="8" builtinId="18" customBuiltin="1"/>
    <cellStyle name="見出し 4" xfId="17" builtinId="19" customBuiltin="1"/>
    <cellStyle name="集計" xfId="29" builtinId="25" customBuiltin="1"/>
    <cellStyle name="出力" xfId="22" builtinId="21" customBuiltin="1"/>
    <cellStyle name="説明文" xfId="28" builtinId="53" customBuiltin="1"/>
    <cellStyle name="通貨" xfId="16" builtinId="7" customBuiltin="1"/>
    <cellStyle name="通貨 [0.00]" xfId="15" builtinId="4" customBuiltin="1"/>
    <cellStyle name="日付" xfId="10" xr:uid="{229918B6-DD13-4F5A-97B9-305F7E002AA3}"/>
    <cellStyle name="入力" xfId="21" builtinId="20" customBuiltin="1"/>
    <cellStyle name="標準" xfId="0" builtinId="0" customBuiltin="1"/>
    <cellStyle name="表示済みのハイパーリンク" xfId="13" builtinId="9" customBuiltin="1"/>
    <cellStyle name="名前" xfId="11" xr:uid="{B2D3C1EE-6B41-4801-AAFC-C2274E49E503}"/>
    <cellStyle name="良い" xfId="18" builtinId="26" customBuiltin="1"/>
  </cellStyles>
  <dxfs count="15">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作業リスト" pivot="0" count="9" xr9:uid="{00000000-0011-0000-FFFF-FFFF00000000}">
      <tableStyleElement type="wholeTable" dxfId="14"/>
      <tableStyleElement type="headerRow" dxfId="13"/>
      <tableStyleElement type="totalRow" dxfId="12"/>
      <tableStyleElement type="firstColumn" dxfId="11"/>
      <tableStyleElement type="lastColumn" dxfId="10"/>
      <tableStyleElement type="firstRowStripe" dxfId="9"/>
      <tableStyleElement type="secondRowStripe" dxfId="8"/>
      <tableStyleElement type="firstColumnStripe" dxfId="7"/>
      <tableStyleElement type="secondColumnStripe" dxfId="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xdr:from>
      <xdr:col>6</xdr:col>
      <xdr:colOff>30480</xdr:colOff>
      <xdr:row>10</xdr:row>
      <xdr:rowOff>182880</xdr:rowOff>
    </xdr:from>
    <xdr:to>
      <xdr:col>8</xdr:col>
      <xdr:colOff>45720</xdr:colOff>
      <xdr:row>12</xdr:row>
      <xdr:rowOff>297180</xdr:rowOff>
    </xdr:to>
    <xdr:sp macro="" textlink="">
      <xdr:nvSpPr>
        <xdr:cNvPr id="156" name="矢印: 折線 155">
          <a:extLst>
            <a:ext uri="{FF2B5EF4-FFF2-40B4-BE49-F238E27FC236}">
              <a16:creationId xmlns:a16="http://schemas.microsoft.com/office/drawing/2014/main" id="{D9464D1C-6103-4F16-81E5-29128FF2909C}"/>
            </a:ext>
          </a:extLst>
        </xdr:cNvPr>
        <xdr:cNvSpPr>
          <a:spLocks/>
        </xdr:cNvSpPr>
      </xdr:nvSpPr>
      <xdr:spPr>
        <a:xfrm rot="10800000" flipH="1">
          <a:off x="7056120" y="3421380"/>
          <a:ext cx="228600" cy="876300"/>
        </a:xfrm>
        <a:prstGeom prst="bentArrow">
          <a:avLst>
            <a:gd name="adj1" fmla="val 13134"/>
            <a:gd name="adj2" fmla="val 25000"/>
            <a:gd name="adj3" fmla="val 25000"/>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xdr:col>
      <xdr:colOff>121920</xdr:colOff>
      <xdr:row>11</xdr:row>
      <xdr:rowOff>137160</xdr:rowOff>
    </xdr:from>
    <xdr:to>
      <xdr:col>8</xdr:col>
      <xdr:colOff>152400</xdr:colOff>
      <xdr:row>12</xdr:row>
      <xdr:rowOff>213360</xdr:rowOff>
    </xdr:to>
    <xdr:sp macro="" textlink="">
      <xdr:nvSpPr>
        <xdr:cNvPr id="157" name="矢印: 折線 156">
          <a:extLst>
            <a:ext uri="{FF2B5EF4-FFF2-40B4-BE49-F238E27FC236}">
              <a16:creationId xmlns:a16="http://schemas.microsoft.com/office/drawing/2014/main" id="{A2FC3DC8-1BC6-45AD-9CFE-7FB43B828A61}"/>
            </a:ext>
          </a:extLst>
        </xdr:cNvPr>
        <xdr:cNvSpPr>
          <a:spLocks/>
        </xdr:cNvSpPr>
      </xdr:nvSpPr>
      <xdr:spPr>
        <a:xfrm rot="10800000" flipH="1">
          <a:off x="7147560" y="3756660"/>
          <a:ext cx="243840" cy="457200"/>
        </a:xfrm>
        <a:prstGeom prst="bentArrow">
          <a:avLst>
            <a:gd name="adj1" fmla="val 13134"/>
            <a:gd name="adj2" fmla="val 25000"/>
            <a:gd name="adj3" fmla="val 25000"/>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114300</xdr:colOff>
      <xdr:row>12</xdr:row>
      <xdr:rowOff>190500</xdr:rowOff>
    </xdr:from>
    <xdr:to>
      <xdr:col>9</xdr:col>
      <xdr:colOff>91440</xdr:colOff>
      <xdr:row>14</xdr:row>
      <xdr:rowOff>259080</xdr:rowOff>
    </xdr:to>
    <xdr:sp macro="" textlink="">
      <xdr:nvSpPr>
        <xdr:cNvPr id="158" name="矢印: 折線 157">
          <a:extLst>
            <a:ext uri="{FF2B5EF4-FFF2-40B4-BE49-F238E27FC236}">
              <a16:creationId xmlns:a16="http://schemas.microsoft.com/office/drawing/2014/main" id="{D5529A79-8C60-4B45-9EB3-A5B92F65100B}"/>
            </a:ext>
          </a:extLst>
        </xdr:cNvPr>
        <xdr:cNvSpPr>
          <a:spLocks/>
        </xdr:cNvSpPr>
      </xdr:nvSpPr>
      <xdr:spPr>
        <a:xfrm rot="10800000">
          <a:off x="7353300" y="4191000"/>
          <a:ext cx="182880" cy="830580"/>
        </a:xfrm>
        <a:prstGeom prst="bentArrow">
          <a:avLst>
            <a:gd name="adj1" fmla="val 13134"/>
            <a:gd name="adj2" fmla="val 25000"/>
            <a:gd name="adj3" fmla="val 25000"/>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xdr:col>
      <xdr:colOff>0</xdr:colOff>
      <xdr:row>12</xdr:row>
      <xdr:rowOff>213360</xdr:rowOff>
    </xdr:from>
    <xdr:to>
      <xdr:col>9</xdr:col>
      <xdr:colOff>175260</xdr:colOff>
      <xdr:row>15</xdr:row>
      <xdr:rowOff>228600</xdr:rowOff>
    </xdr:to>
    <xdr:sp macro="" textlink="">
      <xdr:nvSpPr>
        <xdr:cNvPr id="159" name="矢印: 折線 158">
          <a:extLst>
            <a:ext uri="{FF2B5EF4-FFF2-40B4-BE49-F238E27FC236}">
              <a16:creationId xmlns:a16="http://schemas.microsoft.com/office/drawing/2014/main" id="{80F4A89E-7EA5-40F4-AD4F-D8733183A1E7}"/>
            </a:ext>
          </a:extLst>
        </xdr:cNvPr>
        <xdr:cNvSpPr>
          <a:spLocks/>
        </xdr:cNvSpPr>
      </xdr:nvSpPr>
      <xdr:spPr>
        <a:xfrm rot="10800000">
          <a:off x="7444740" y="4213860"/>
          <a:ext cx="175260" cy="1158240"/>
        </a:xfrm>
        <a:prstGeom prst="bentArrow">
          <a:avLst>
            <a:gd name="adj1" fmla="val 13134"/>
            <a:gd name="adj2" fmla="val 25000"/>
            <a:gd name="adj3" fmla="val 25000"/>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xdr:col>
      <xdr:colOff>121920</xdr:colOff>
      <xdr:row>14</xdr:row>
      <xdr:rowOff>190500</xdr:rowOff>
    </xdr:from>
    <xdr:to>
      <xdr:col>9</xdr:col>
      <xdr:colOff>30480</xdr:colOff>
      <xdr:row>17</xdr:row>
      <xdr:rowOff>251460</xdr:rowOff>
    </xdr:to>
    <xdr:sp macro="" textlink="">
      <xdr:nvSpPr>
        <xdr:cNvPr id="160" name="矢印: 折線 159">
          <a:extLst>
            <a:ext uri="{FF2B5EF4-FFF2-40B4-BE49-F238E27FC236}">
              <a16:creationId xmlns:a16="http://schemas.microsoft.com/office/drawing/2014/main" id="{01E5862D-927C-4E91-960E-2A4BB53F4EFE}"/>
            </a:ext>
          </a:extLst>
        </xdr:cNvPr>
        <xdr:cNvSpPr>
          <a:spLocks/>
        </xdr:cNvSpPr>
      </xdr:nvSpPr>
      <xdr:spPr>
        <a:xfrm rot="10800000" flipH="1">
          <a:off x="7147560" y="4953000"/>
          <a:ext cx="327660" cy="1203960"/>
        </a:xfrm>
        <a:prstGeom prst="bentArrow">
          <a:avLst>
            <a:gd name="adj1" fmla="val 13134"/>
            <a:gd name="adj2" fmla="val 25000"/>
            <a:gd name="adj3" fmla="val 25000"/>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xdr:col>
      <xdr:colOff>22858</xdr:colOff>
      <xdr:row>12</xdr:row>
      <xdr:rowOff>99069</xdr:rowOff>
    </xdr:from>
    <xdr:to>
      <xdr:col>12</xdr:col>
      <xdr:colOff>182880</xdr:colOff>
      <xdr:row>22</xdr:row>
      <xdr:rowOff>274323</xdr:rowOff>
    </xdr:to>
    <xdr:sp macro="" textlink="">
      <xdr:nvSpPr>
        <xdr:cNvPr id="161" name="矢印: 折線 160">
          <a:extLst>
            <a:ext uri="{FF2B5EF4-FFF2-40B4-BE49-F238E27FC236}">
              <a16:creationId xmlns:a16="http://schemas.microsoft.com/office/drawing/2014/main" id="{781C0757-73C3-4D37-A846-C326368C764A}"/>
            </a:ext>
          </a:extLst>
        </xdr:cNvPr>
        <xdr:cNvSpPr>
          <a:spLocks/>
        </xdr:cNvSpPr>
      </xdr:nvSpPr>
      <xdr:spPr>
        <a:xfrm rot="5400000">
          <a:off x="5863592" y="5703575"/>
          <a:ext cx="3985254" cy="777242"/>
        </a:xfrm>
        <a:prstGeom prst="bentArrow">
          <a:avLst>
            <a:gd name="adj1" fmla="val 2279"/>
            <a:gd name="adj2" fmla="val 10464"/>
            <a:gd name="adj3" fmla="val 15152"/>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xdr:col>
      <xdr:colOff>28823</xdr:colOff>
      <xdr:row>21</xdr:row>
      <xdr:rowOff>131527</xdr:rowOff>
    </xdr:from>
    <xdr:to>
      <xdr:col>10</xdr:col>
      <xdr:colOff>59635</xdr:colOff>
      <xdr:row>23</xdr:row>
      <xdr:rowOff>238539</xdr:rowOff>
    </xdr:to>
    <xdr:sp macro="" textlink="">
      <xdr:nvSpPr>
        <xdr:cNvPr id="162" name="矢印: 折線 161">
          <a:extLst>
            <a:ext uri="{FF2B5EF4-FFF2-40B4-BE49-F238E27FC236}">
              <a16:creationId xmlns:a16="http://schemas.microsoft.com/office/drawing/2014/main" id="{329BD083-07BF-4A19-8AEE-C2C6FCD9FFC9}"/>
            </a:ext>
          </a:extLst>
        </xdr:cNvPr>
        <xdr:cNvSpPr>
          <a:spLocks/>
        </xdr:cNvSpPr>
      </xdr:nvSpPr>
      <xdr:spPr>
        <a:xfrm rot="10800000" flipH="1">
          <a:off x="7469919" y="7625631"/>
          <a:ext cx="236220" cy="875638"/>
        </a:xfrm>
        <a:prstGeom prst="bentArrow">
          <a:avLst>
            <a:gd name="adj1" fmla="val 13134"/>
            <a:gd name="adj2" fmla="val 25000"/>
            <a:gd name="adj3" fmla="val 13462"/>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137160</xdr:colOff>
      <xdr:row>20</xdr:row>
      <xdr:rowOff>182880</xdr:rowOff>
    </xdr:from>
    <xdr:to>
      <xdr:col>10</xdr:col>
      <xdr:colOff>7620</xdr:colOff>
      <xdr:row>23</xdr:row>
      <xdr:rowOff>190500</xdr:rowOff>
    </xdr:to>
    <xdr:sp macro="" textlink="">
      <xdr:nvSpPr>
        <xdr:cNvPr id="163" name="矢印: 折線 162">
          <a:extLst>
            <a:ext uri="{FF2B5EF4-FFF2-40B4-BE49-F238E27FC236}">
              <a16:creationId xmlns:a16="http://schemas.microsoft.com/office/drawing/2014/main" id="{8E5B9485-710F-4FB8-B860-DD2DFD28C92E}"/>
            </a:ext>
          </a:extLst>
        </xdr:cNvPr>
        <xdr:cNvSpPr>
          <a:spLocks/>
        </xdr:cNvSpPr>
      </xdr:nvSpPr>
      <xdr:spPr>
        <a:xfrm rot="10800000" flipH="1">
          <a:off x="7376160" y="7231380"/>
          <a:ext cx="281940" cy="1150620"/>
        </a:xfrm>
        <a:prstGeom prst="bentArrow">
          <a:avLst>
            <a:gd name="adj1" fmla="val 13134"/>
            <a:gd name="adj2" fmla="val 25000"/>
            <a:gd name="adj3" fmla="val 25000"/>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xdr:col>
      <xdr:colOff>182880</xdr:colOff>
      <xdr:row>19</xdr:row>
      <xdr:rowOff>129540</xdr:rowOff>
    </xdr:from>
    <xdr:to>
      <xdr:col>10</xdr:col>
      <xdr:colOff>30480</xdr:colOff>
      <xdr:row>24</xdr:row>
      <xdr:rowOff>0</xdr:rowOff>
    </xdr:to>
    <xdr:sp macro="" textlink="">
      <xdr:nvSpPr>
        <xdr:cNvPr id="164" name="矢印: 折線 163">
          <a:extLst>
            <a:ext uri="{FF2B5EF4-FFF2-40B4-BE49-F238E27FC236}">
              <a16:creationId xmlns:a16="http://schemas.microsoft.com/office/drawing/2014/main" id="{0D586EBF-9949-4C20-BC59-AB7EFC0701C8}"/>
            </a:ext>
          </a:extLst>
        </xdr:cNvPr>
        <xdr:cNvSpPr>
          <a:spLocks/>
        </xdr:cNvSpPr>
      </xdr:nvSpPr>
      <xdr:spPr>
        <a:xfrm rot="10800000" flipH="1">
          <a:off x="7208520" y="6797040"/>
          <a:ext cx="472440" cy="1775460"/>
        </a:xfrm>
        <a:prstGeom prst="bentArrow">
          <a:avLst>
            <a:gd name="adj1" fmla="val 13134"/>
            <a:gd name="adj2" fmla="val 25000"/>
            <a:gd name="adj3" fmla="val 25000"/>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10</xdr:col>
      <xdr:colOff>38100</xdr:colOff>
      <xdr:row>25</xdr:row>
      <xdr:rowOff>152400</xdr:rowOff>
    </xdr:from>
    <xdr:to>
      <xdr:col>16</xdr:col>
      <xdr:colOff>0</xdr:colOff>
      <xdr:row>32</xdr:row>
      <xdr:rowOff>30480</xdr:rowOff>
    </xdr:to>
    <xdr:sp macro="" textlink="">
      <xdr:nvSpPr>
        <xdr:cNvPr id="165" name="矢印: 折線 164">
          <a:extLst>
            <a:ext uri="{FF2B5EF4-FFF2-40B4-BE49-F238E27FC236}">
              <a16:creationId xmlns:a16="http://schemas.microsoft.com/office/drawing/2014/main" id="{292E4F84-5549-4228-8F27-9E796545A3CB}"/>
            </a:ext>
          </a:extLst>
        </xdr:cNvPr>
        <xdr:cNvSpPr>
          <a:spLocks/>
        </xdr:cNvSpPr>
      </xdr:nvSpPr>
      <xdr:spPr>
        <a:xfrm rot="10800000" flipH="1">
          <a:off x="7688580" y="9105900"/>
          <a:ext cx="1196340" cy="2545080"/>
        </a:xfrm>
        <a:prstGeom prst="bentArrow">
          <a:avLst>
            <a:gd name="adj1" fmla="val 4277"/>
            <a:gd name="adj2" fmla="val 9053"/>
            <a:gd name="adj3" fmla="val 12845"/>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11</xdr:col>
      <xdr:colOff>190500</xdr:colOff>
      <xdr:row>28</xdr:row>
      <xdr:rowOff>76200</xdr:rowOff>
    </xdr:from>
    <xdr:to>
      <xdr:col>15</xdr:col>
      <xdr:colOff>182880</xdr:colOff>
      <xdr:row>33</xdr:row>
      <xdr:rowOff>22860</xdr:rowOff>
    </xdr:to>
    <xdr:sp macro="" textlink="">
      <xdr:nvSpPr>
        <xdr:cNvPr id="166" name="矢印: 折線 165">
          <a:extLst>
            <a:ext uri="{FF2B5EF4-FFF2-40B4-BE49-F238E27FC236}">
              <a16:creationId xmlns:a16="http://schemas.microsoft.com/office/drawing/2014/main" id="{73F69877-B7CB-488F-8D9D-8A986F1ACB0C}"/>
            </a:ext>
          </a:extLst>
        </xdr:cNvPr>
        <xdr:cNvSpPr>
          <a:spLocks/>
        </xdr:cNvSpPr>
      </xdr:nvSpPr>
      <xdr:spPr>
        <a:xfrm rot="10800000" flipH="1">
          <a:off x="8046720" y="10172700"/>
          <a:ext cx="815340" cy="1851660"/>
        </a:xfrm>
        <a:prstGeom prst="bentArrow">
          <a:avLst>
            <a:gd name="adj1" fmla="val 5657"/>
            <a:gd name="adj2" fmla="val 14720"/>
            <a:gd name="adj3" fmla="val 25000"/>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11</xdr:col>
      <xdr:colOff>144780</xdr:colOff>
      <xdr:row>29</xdr:row>
      <xdr:rowOff>140970</xdr:rowOff>
    </xdr:from>
    <xdr:to>
      <xdr:col>15</xdr:col>
      <xdr:colOff>0</xdr:colOff>
      <xdr:row>30</xdr:row>
      <xdr:rowOff>38100</xdr:rowOff>
    </xdr:to>
    <xdr:sp macro="" textlink="">
      <xdr:nvSpPr>
        <xdr:cNvPr id="168" name="矢印: 折線 167">
          <a:extLst>
            <a:ext uri="{FF2B5EF4-FFF2-40B4-BE49-F238E27FC236}">
              <a16:creationId xmlns:a16="http://schemas.microsoft.com/office/drawing/2014/main" id="{DB7528BC-D4F7-4571-9E1A-642D6FA8A868}"/>
            </a:ext>
          </a:extLst>
        </xdr:cNvPr>
        <xdr:cNvSpPr>
          <a:spLocks/>
        </xdr:cNvSpPr>
      </xdr:nvSpPr>
      <xdr:spPr>
        <a:xfrm rot="16200000" flipH="1">
          <a:off x="8201025" y="10418445"/>
          <a:ext cx="278130" cy="67818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11</xdr:col>
      <xdr:colOff>160020</xdr:colOff>
      <xdr:row>30</xdr:row>
      <xdr:rowOff>163830</xdr:rowOff>
    </xdr:from>
    <xdr:to>
      <xdr:col>15</xdr:col>
      <xdr:colOff>7620</xdr:colOff>
      <xdr:row>31</xdr:row>
      <xdr:rowOff>38100</xdr:rowOff>
    </xdr:to>
    <xdr:sp macro="" textlink="">
      <xdr:nvSpPr>
        <xdr:cNvPr id="169" name="矢印: 折線 168">
          <a:extLst>
            <a:ext uri="{FF2B5EF4-FFF2-40B4-BE49-F238E27FC236}">
              <a16:creationId xmlns:a16="http://schemas.microsoft.com/office/drawing/2014/main" id="{9F2038BF-A3F6-439A-97F2-B14022575BFC}"/>
            </a:ext>
          </a:extLst>
        </xdr:cNvPr>
        <xdr:cNvSpPr>
          <a:spLocks/>
        </xdr:cNvSpPr>
      </xdr:nvSpPr>
      <xdr:spPr>
        <a:xfrm rot="16200000" flipH="1">
          <a:off x="8223885" y="10814685"/>
          <a:ext cx="255270" cy="67056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xdr:col>
      <xdr:colOff>134840</xdr:colOff>
      <xdr:row>22</xdr:row>
      <xdr:rowOff>139148</xdr:rowOff>
    </xdr:from>
    <xdr:to>
      <xdr:col>10</xdr:col>
      <xdr:colOff>165652</xdr:colOff>
      <xdr:row>23</xdr:row>
      <xdr:rowOff>251791</xdr:rowOff>
    </xdr:to>
    <xdr:sp macro="" textlink="">
      <xdr:nvSpPr>
        <xdr:cNvPr id="171" name="矢印: 折線 170">
          <a:extLst>
            <a:ext uri="{FF2B5EF4-FFF2-40B4-BE49-F238E27FC236}">
              <a16:creationId xmlns:a16="http://schemas.microsoft.com/office/drawing/2014/main" id="{E9A04BD6-8513-4705-B3F4-DD1AF8B98FA9}"/>
            </a:ext>
          </a:extLst>
        </xdr:cNvPr>
        <xdr:cNvSpPr>
          <a:spLocks/>
        </xdr:cNvSpPr>
      </xdr:nvSpPr>
      <xdr:spPr>
        <a:xfrm rot="10800000" flipH="1">
          <a:off x="7575936" y="8017565"/>
          <a:ext cx="236220" cy="496956"/>
        </a:xfrm>
        <a:prstGeom prst="bentArrow">
          <a:avLst>
            <a:gd name="adj1" fmla="val 13134"/>
            <a:gd name="adj2" fmla="val 25000"/>
            <a:gd name="adj3" fmla="val 13462"/>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11</xdr:col>
      <xdr:colOff>152400</xdr:colOff>
      <xdr:row>28</xdr:row>
      <xdr:rowOff>72390</xdr:rowOff>
    </xdr:from>
    <xdr:to>
      <xdr:col>15</xdr:col>
      <xdr:colOff>7620</xdr:colOff>
      <xdr:row>28</xdr:row>
      <xdr:rowOff>350520</xdr:rowOff>
    </xdr:to>
    <xdr:sp macro="" textlink="">
      <xdr:nvSpPr>
        <xdr:cNvPr id="172" name="矢印: 折線 171">
          <a:extLst>
            <a:ext uri="{FF2B5EF4-FFF2-40B4-BE49-F238E27FC236}">
              <a16:creationId xmlns:a16="http://schemas.microsoft.com/office/drawing/2014/main" id="{DAA483E1-89C4-445A-B5B0-D92FC8628EEE}"/>
            </a:ext>
          </a:extLst>
        </xdr:cNvPr>
        <xdr:cNvSpPr>
          <a:spLocks/>
        </xdr:cNvSpPr>
      </xdr:nvSpPr>
      <xdr:spPr>
        <a:xfrm rot="16200000" flipH="1">
          <a:off x="8208645" y="9968865"/>
          <a:ext cx="278130" cy="67818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16</xdr:col>
      <xdr:colOff>38100</xdr:colOff>
      <xdr:row>49</xdr:row>
      <xdr:rowOff>198119</xdr:rowOff>
    </xdr:from>
    <xdr:to>
      <xdr:col>19</xdr:col>
      <xdr:colOff>13335</xdr:colOff>
      <xdr:row>53</xdr:row>
      <xdr:rowOff>318134</xdr:rowOff>
    </xdr:to>
    <xdr:sp macro="" textlink="">
      <xdr:nvSpPr>
        <xdr:cNvPr id="173" name="矢印: 折線 172">
          <a:extLst>
            <a:ext uri="{FF2B5EF4-FFF2-40B4-BE49-F238E27FC236}">
              <a16:creationId xmlns:a16="http://schemas.microsoft.com/office/drawing/2014/main" id="{B26D0171-F43F-41C3-8D98-3B4BD7942AE6}"/>
            </a:ext>
          </a:extLst>
        </xdr:cNvPr>
        <xdr:cNvSpPr>
          <a:spLocks/>
        </xdr:cNvSpPr>
      </xdr:nvSpPr>
      <xdr:spPr>
        <a:xfrm rot="10800000" flipH="1">
          <a:off x="8923020" y="18295619"/>
          <a:ext cx="592455" cy="1644015"/>
        </a:xfrm>
        <a:prstGeom prst="bentArrow">
          <a:avLst>
            <a:gd name="adj1" fmla="val 6453"/>
            <a:gd name="adj2" fmla="val 11221"/>
            <a:gd name="adj3" fmla="val 14650"/>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16</xdr:col>
      <xdr:colOff>15240</xdr:colOff>
      <xdr:row>49</xdr:row>
      <xdr:rowOff>198119</xdr:rowOff>
    </xdr:from>
    <xdr:to>
      <xdr:col>17</xdr:col>
      <xdr:colOff>198120</xdr:colOff>
      <xdr:row>50</xdr:row>
      <xdr:rowOff>95249</xdr:rowOff>
    </xdr:to>
    <xdr:sp macro="" textlink="">
      <xdr:nvSpPr>
        <xdr:cNvPr id="174" name="矢印: 折線 173">
          <a:extLst>
            <a:ext uri="{FF2B5EF4-FFF2-40B4-BE49-F238E27FC236}">
              <a16:creationId xmlns:a16="http://schemas.microsoft.com/office/drawing/2014/main" id="{E9BA6A46-52BF-47E4-AF30-B181D20CB127}"/>
            </a:ext>
          </a:extLst>
        </xdr:cNvPr>
        <xdr:cNvSpPr>
          <a:spLocks/>
        </xdr:cNvSpPr>
      </xdr:nvSpPr>
      <xdr:spPr>
        <a:xfrm rot="16200000" flipH="1">
          <a:off x="8955405" y="18240374"/>
          <a:ext cx="278130" cy="38862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190500</xdr:colOff>
      <xdr:row>50</xdr:row>
      <xdr:rowOff>144779</xdr:rowOff>
    </xdr:from>
    <xdr:to>
      <xdr:col>18</xdr:col>
      <xdr:colOff>45720</xdr:colOff>
      <xdr:row>51</xdr:row>
      <xdr:rowOff>41909</xdr:rowOff>
    </xdr:to>
    <xdr:sp macro="" textlink="">
      <xdr:nvSpPr>
        <xdr:cNvPr id="175" name="矢印: 折線 174">
          <a:extLst>
            <a:ext uri="{FF2B5EF4-FFF2-40B4-BE49-F238E27FC236}">
              <a16:creationId xmlns:a16="http://schemas.microsoft.com/office/drawing/2014/main" id="{C04DEAF6-D176-44ED-805B-0B20BD54DBAC}"/>
            </a:ext>
          </a:extLst>
        </xdr:cNvPr>
        <xdr:cNvSpPr>
          <a:spLocks/>
        </xdr:cNvSpPr>
      </xdr:nvSpPr>
      <xdr:spPr>
        <a:xfrm rot="16200000" flipH="1">
          <a:off x="8966835" y="18526124"/>
          <a:ext cx="278130" cy="4724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182880</xdr:colOff>
      <xdr:row>51</xdr:row>
      <xdr:rowOff>106679</xdr:rowOff>
    </xdr:from>
    <xdr:to>
      <xdr:col>18</xdr:col>
      <xdr:colOff>38100</xdr:colOff>
      <xdr:row>52</xdr:row>
      <xdr:rowOff>3809</xdr:rowOff>
    </xdr:to>
    <xdr:sp macro="" textlink="">
      <xdr:nvSpPr>
        <xdr:cNvPr id="176" name="矢印: 折線 175">
          <a:extLst>
            <a:ext uri="{FF2B5EF4-FFF2-40B4-BE49-F238E27FC236}">
              <a16:creationId xmlns:a16="http://schemas.microsoft.com/office/drawing/2014/main" id="{FFA62B8E-BB14-4F4A-9592-35BA16C78F8E}"/>
            </a:ext>
          </a:extLst>
        </xdr:cNvPr>
        <xdr:cNvSpPr>
          <a:spLocks/>
        </xdr:cNvSpPr>
      </xdr:nvSpPr>
      <xdr:spPr>
        <a:xfrm rot="16200000" flipH="1">
          <a:off x="8959215" y="18869024"/>
          <a:ext cx="278130" cy="4724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190500</xdr:colOff>
      <xdr:row>52</xdr:row>
      <xdr:rowOff>152399</xdr:rowOff>
    </xdr:from>
    <xdr:to>
      <xdr:col>18</xdr:col>
      <xdr:colOff>45720</xdr:colOff>
      <xdr:row>53</xdr:row>
      <xdr:rowOff>49529</xdr:rowOff>
    </xdr:to>
    <xdr:sp macro="" textlink="">
      <xdr:nvSpPr>
        <xdr:cNvPr id="177" name="矢印: 折線 176">
          <a:extLst>
            <a:ext uri="{FF2B5EF4-FFF2-40B4-BE49-F238E27FC236}">
              <a16:creationId xmlns:a16="http://schemas.microsoft.com/office/drawing/2014/main" id="{713765F7-9089-4368-9B92-DF445554D005}"/>
            </a:ext>
          </a:extLst>
        </xdr:cNvPr>
        <xdr:cNvSpPr>
          <a:spLocks/>
        </xdr:cNvSpPr>
      </xdr:nvSpPr>
      <xdr:spPr>
        <a:xfrm rot="16200000" flipH="1">
          <a:off x="8966835" y="19295744"/>
          <a:ext cx="278130" cy="4724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21</xdr:col>
      <xdr:colOff>66275</xdr:colOff>
      <xdr:row>55</xdr:row>
      <xdr:rowOff>197370</xdr:rowOff>
    </xdr:from>
    <xdr:to>
      <xdr:col>23</xdr:col>
      <xdr:colOff>196639</xdr:colOff>
      <xdr:row>56</xdr:row>
      <xdr:rowOff>288810</xdr:rowOff>
    </xdr:to>
    <xdr:sp macro="" textlink="">
      <xdr:nvSpPr>
        <xdr:cNvPr id="178" name="矢印: 折線 177">
          <a:extLst>
            <a:ext uri="{FF2B5EF4-FFF2-40B4-BE49-F238E27FC236}">
              <a16:creationId xmlns:a16="http://schemas.microsoft.com/office/drawing/2014/main" id="{CC419C30-2C0F-4388-ADA5-8DDFAAD9F5E0}"/>
            </a:ext>
          </a:extLst>
        </xdr:cNvPr>
        <xdr:cNvSpPr>
          <a:spLocks/>
        </xdr:cNvSpPr>
      </xdr:nvSpPr>
      <xdr:spPr>
        <a:xfrm rot="10800000" flipH="1">
          <a:off x="9979895" y="20580870"/>
          <a:ext cx="541844" cy="4724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22</xdr:col>
      <xdr:colOff>112395</xdr:colOff>
      <xdr:row>58</xdr:row>
      <xdr:rowOff>129540</xdr:rowOff>
    </xdr:from>
    <xdr:to>
      <xdr:col>23</xdr:col>
      <xdr:colOff>184785</xdr:colOff>
      <xdr:row>61</xdr:row>
      <xdr:rowOff>276225</xdr:rowOff>
    </xdr:to>
    <xdr:sp macro="" textlink="">
      <xdr:nvSpPr>
        <xdr:cNvPr id="179" name="矢印: 折線 178">
          <a:extLst>
            <a:ext uri="{FF2B5EF4-FFF2-40B4-BE49-F238E27FC236}">
              <a16:creationId xmlns:a16="http://schemas.microsoft.com/office/drawing/2014/main" id="{53711573-6A04-46A1-8292-D1FC1E51F93C}"/>
            </a:ext>
          </a:extLst>
        </xdr:cNvPr>
        <xdr:cNvSpPr>
          <a:spLocks/>
        </xdr:cNvSpPr>
      </xdr:nvSpPr>
      <xdr:spPr>
        <a:xfrm rot="10800000" flipH="1">
          <a:off x="10231755" y="21656040"/>
          <a:ext cx="278130" cy="1289685"/>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22</xdr:col>
      <xdr:colOff>76200</xdr:colOff>
      <xdr:row>58</xdr:row>
      <xdr:rowOff>114300</xdr:rowOff>
    </xdr:from>
    <xdr:to>
      <xdr:col>23</xdr:col>
      <xdr:colOff>167640</xdr:colOff>
      <xdr:row>59</xdr:row>
      <xdr:rowOff>11430</xdr:rowOff>
    </xdr:to>
    <xdr:sp macro="" textlink="">
      <xdr:nvSpPr>
        <xdr:cNvPr id="180" name="矢印: 折線 179">
          <a:extLst>
            <a:ext uri="{FF2B5EF4-FFF2-40B4-BE49-F238E27FC236}">
              <a16:creationId xmlns:a16="http://schemas.microsoft.com/office/drawing/2014/main" id="{D5FA67F4-FB9A-4076-882E-2039C42D809F}"/>
            </a:ext>
          </a:extLst>
        </xdr:cNvPr>
        <xdr:cNvSpPr>
          <a:spLocks/>
        </xdr:cNvSpPr>
      </xdr:nvSpPr>
      <xdr:spPr>
        <a:xfrm rot="16200000" flipH="1">
          <a:off x="10205085" y="21631275"/>
          <a:ext cx="278130" cy="29718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22</xdr:col>
      <xdr:colOff>53340</xdr:colOff>
      <xdr:row>59</xdr:row>
      <xdr:rowOff>152400</xdr:rowOff>
    </xdr:from>
    <xdr:to>
      <xdr:col>24</xdr:col>
      <xdr:colOff>114300</xdr:colOff>
      <xdr:row>60</xdr:row>
      <xdr:rowOff>49530</xdr:rowOff>
    </xdr:to>
    <xdr:sp macro="" textlink="">
      <xdr:nvSpPr>
        <xdr:cNvPr id="181" name="矢印: 折線 180">
          <a:extLst>
            <a:ext uri="{FF2B5EF4-FFF2-40B4-BE49-F238E27FC236}">
              <a16:creationId xmlns:a16="http://schemas.microsoft.com/office/drawing/2014/main" id="{501FD470-60D1-4929-A8D3-3360391E3B92}"/>
            </a:ext>
          </a:extLst>
        </xdr:cNvPr>
        <xdr:cNvSpPr>
          <a:spLocks/>
        </xdr:cNvSpPr>
      </xdr:nvSpPr>
      <xdr:spPr>
        <a:xfrm rot="16200000" flipH="1">
          <a:off x="10269855" y="21962745"/>
          <a:ext cx="278130" cy="4724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22</xdr:col>
      <xdr:colOff>60960</xdr:colOff>
      <xdr:row>60</xdr:row>
      <xdr:rowOff>152400</xdr:rowOff>
    </xdr:from>
    <xdr:to>
      <xdr:col>24</xdr:col>
      <xdr:colOff>121920</xdr:colOff>
      <xdr:row>61</xdr:row>
      <xdr:rowOff>49530</xdr:rowOff>
    </xdr:to>
    <xdr:sp macro="" textlink="">
      <xdr:nvSpPr>
        <xdr:cNvPr id="182" name="矢印: 折線 181">
          <a:extLst>
            <a:ext uri="{FF2B5EF4-FFF2-40B4-BE49-F238E27FC236}">
              <a16:creationId xmlns:a16="http://schemas.microsoft.com/office/drawing/2014/main" id="{422FB865-6200-4829-BB99-8C7E1238C50F}"/>
            </a:ext>
          </a:extLst>
        </xdr:cNvPr>
        <xdr:cNvSpPr>
          <a:spLocks/>
        </xdr:cNvSpPr>
      </xdr:nvSpPr>
      <xdr:spPr>
        <a:xfrm rot="16200000" flipH="1">
          <a:off x="10277475" y="22343745"/>
          <a:ext cx="278130" cy="4724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30</xdr:col>
      <xdr:colOff>167640</xdr:colOff>
      <xdr:row>1</xdr:row>
      <xdr:rowOff>297180</xdr:rowOff>
    </xdr:from>
    <xdr:to>
      <xdr:col>35</xdr:col>
      <xdr:colOff>68580</xdr:colOff>
      <xdr:row>2</xdr:row>
      <xdr:rowOff>259080</xdr:rowOff>
    </xdr:to>
    <xdr:sp macro="" textlink="">
      <xdr:nvSpPr>
        <xdr:cNvPr id="183" name="吹き出し: 角を丸めた四角形 182">
          <a:extLst>
            <a:ext uri="{FF2B5EF4-FFF2-40B4-BE49-F238E27FC236}">
              <a16:creationId xmlns:a16="http://schemas.microsoft.com/office/drawing/2014/main" id="{E2586DE2-533B-43EC-A657-33CE4EF8D7A0}"/>
            </a:ext>
          </a:extLst>
        </xdr:cNvPr>
        <xdr:cNvSpPr/>
      </xdr:nvSpPr>
      <xdr:spPr>
        <a:xfrm>
          <a:off x="11932920" y="678180"/>
          <a:ext cx="929640" cy="342900"/>
        </a:xfrm>
        <a:prstGeom prst="wedgeRoundRect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11/11</a:t>
          </a:r>
          <a:r>
            <a:rPr kumimoji="1" lang="ja-JP" altLang="en-US" sz="1100"/>
            <a:t>日</a:t>
          </a:r>
          <a:r>
            <a:rPr kumimoji="1" lang="en-US" altLang="ja-JP" sz="1100"/>
            <a:t>α</a:t>
          </a:r>
          <a:r>
            <a:rPr kumimoji="1" lang="ja-JP" altLang="en-US" sz="1100"/>
            <a:t>版</a:t>
          </a:r>
        </a:p>
      </xdr:txBody>
    </xdr:sp>
    <xdr:clientData/>
  </xdr:twoCellAnchor>
  <xdr:twoCellAnchor>
    <xdr:from>
      <xdr:col>64</xdr:col>
      <xdr:colOff>60960</xdr:colOff>
      <xdr:row>1</xdr:row>
      <xdr:rowOff>213360</xdr:rowOff>
    </xdr:from>
    <xdr:to>
      <xdr:col>68</xdr:col>
      <xdr:colOff>167640</xdr:colOff>
      <xdr:row>2</xdr:row>
      <xdr:rowOff>175260</xdr:rowOff>
    </xdr:to>
    <xdr:sp macro="" textlink="">
      <xdr:nvSpPr>
        <xdr:cNvPr id="190" name="吹き出し: 角を丸めた四角形 189">
          <a:extLst>
            <a:ext uri="{FF2B5EF4-FFF2-40B4-BE49-F238E27FC236}">
              <a16:creationId xmlns:a16="http://schemas.microsoft.com/office/drawing/2014/main" id="{5BE35264-694F-46D7-A406-E466E2CEB90D}"/>
            </a:ext>
          </a:extLst>
        </xdr:cNvPr>
        <xdr:cNvSpPr/>
      </xdr:nvSpPr>
      <xdr:spPr>
        <a:xfrm>
          <a:off x="18821400" y="594360"/>
          <a:ext cx="929640" cy="342900"/>
        </a:xfrm>
        <a:prstGeom prst="wedgeRoundRect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12/15</a:t>
          </a:r>
          <a:r>
            <a:rPr kumimoji="1" lang="ja-JP" altLang="en-US" sz="1100"/>
            <a:t>日</a:t>
          </a:r>
          <a:r>
            <a:rPr kumimoji="1" lang="en-US" altLang="ja-JP" sz="1100"/>
            <a:t>β</a:t>
          </a:r>
          <a:r>
            <a:rPr kumimoji="1" lang="ja-JP" altLang="en-US" sz="1100"/>
            <a:t>版</a:t>
          </a:r>
        </a:p>
      </xdr:txBody>
    </xdr:sp>
    <xdr:clientData/>
  </xdr:twoCellAnchor>
  <xdr:twoCellAnchor>
    <xdr:from>
      <xdr:col>71</xdr:col>
      <xdr:colOff>60960</xdr:colOff>
      <xdr:row>1</xdr:row>
      <xdr:rowOff>259080</xdr:rowOff>
    </xdr:from>
    <xdr:to>
      <xdr:col>76</xdr:col>
      <xdr:colOff>76200</xdr:colOff>
      <xdr:row>2</xdr:row>
      <xdr:rowOff>220980</xdr:rowOff>
    </xdr:to>
    <xdr:sp macro="" textlink="">
      <xdr:nvSpPr>
        <xdr:cNvPr id="191" name="吹き出し: 角を丸めた四角形 190">
          <a:extLst>
            <a:ext uri="{FF2B5EF4-FFF2-40B4-BE49-F238E27FC236}">
              <a16:creationId xmlns:a16="http://schemas.microsoft.com/office/drawing/2014/main" id="{2C0ABE85-E771-4CB8-9775-1879C4C7ECE5}"/>
            </a:ext>
          </a:extLst>
        </xdr:cNvPr>
        <xdr:cNvSpPr/>
      </xdr:nvSpPr>
      <xdr:spPr>
        <a:xfrm>
          <a:off x="20261580" y="640080"/>
          <a:ext cx="1043940" cy="342900"/>
        </a:xfrm>
        <a:prstGeom prst="wedgeRoundRect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12/22</a:t>
          </a:r>
          <a:r>
            <a:rPr kumimoji="1" lang="ja-JP" altLang="en-US" sz="1100"/>
            <a:t>日試遊</a:t>
          </a:r>
        </a:p>
      </xdr:txBody>
    </xdr:sp>
    <xdr:clientData/>
  </xdr:twoCellAnchor>
  <xdr:twoCellAnchor>
    <xdr:from>
      <xdr:col>115</xdr:col>
      <xdr:colOff>121920</xdr:colOff>
      <xdr:row>1</xdr:row>
      <xdr:rowOff>281940</xdr:rowOff>
    </xdr:from>
    <xdr:to>
      <xdr:col>122</xdr:col>
      <xdr:colOff>91440</xdr:colOff>
      <xdr:row>2</xdr:row>
      <xdr:rowOff>243840</xdr:rowOff>
    </xdr:to>
    <xdr:sp macro="" textlink="">
      <xdr:nvSpPr>
        <xdr:cNvPr id="192" name="吹き出し: 角を丸めた四角形 191">
          <a:extLst>
            <a:ext uri="{FF2B5EF4-FFF2-40B4-BE49-F238E27FC236}">
              <a16:creationId xmlns:a16="http://schemas.microsoft.com/office/drawing/2014/main" id="{AC3C27F9-9926-4ACE-8A37-74907789E7F5}"/>
            </a:ext>
          </a:extLst>
        </xdr:cNvPr>
        <xdr:cNvSpPr/>
      </xdr:nvSpPr>
      <xdr:spPr>
        <a:xfrm>
          <a:off x="29375100" y="662940"/>
          <a:ext cx="1409700" cy="342900"/>
        </a:xfrm>
        <a:prstGeom prst="wedgeRoundRect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2/5</a:t>
          </a:r>
          <a:r>
            <a:rPr kumimoji="1" lang="ja-JP" altLang="en-US" sz="1100"/>
            <a:t>日リリース版</a:t>
          </a:r>
        </a:p>
      </xdr:txBody>
    </xdr:sp>
    <xdr:clientData/>
  </xdr:twoCellAnchor>
  <xdr:twoCellAnchor>
    <xdr:from>
      <xdr:col>27</xdr:col>
      <xdr:colOff>106680</xdr:colOff>
      <xdr:row>64</xdr:row>
      <xdr:rowOff>121919</xdr:rowOff>
    </xdr:from>
    <xdr:to>
      <xdr:col>28</xdr:col>
      <xdr:colOff>179070</xdr:colOff>
      <xdr:row>66</xdr:row>
      <xdr:rowOff>321944</xdr:rowOff>
    </xdr:to>
    <xdr:sp macro="" textlink="">
      <xdr:nvSpPr>
        <xdr:cNvPr id="193" name="矢印: 折線 192">
          <a:extLst>
            <a:ext uri="{FF2B5EF4-FFF2-40B4-BE49-F238E27FC236}">
              <a16:creationId xmlns:a16="http://schemas.microsoft.com/office/drawing/2014/main" id="{4A43FA33-3721-458C-ACFD-0F316DD3513B}"/>
            </a:ext>
          </a:extLst>
        </xdr:cNvPr>
        <xdr:cNvSpPr>
          <a:spLocks/>
        </xdr:cNvSpPr>
      </xdr:nvSpPr>
      <xdr:spPr>
        <a:xfrm rot="10800000" flipH="1">
          <a:off x="11254740" y="23934419"/>
          <a:ext cx="278130" cy="962025"/>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27</xdr:col>
      <xdr:colOff>83820</xdr:colOff>
      <xdr:row>64</xdr:row>
      <xdr:rowOff>144780</xdr:rowOff>
    </xdr:from>
    <xdr:to>
      <xdr:col>29</xdr:col>
      <xdr:colOff>0</xdr:colOff>
      <xdr:row>65</xdr:row>
      <xdr:rowOff>41910</xdr:rowOff>
    </xdr:to>
    <xdr:sp macro="" textlink="">
      <xdr:nvSpPr>
        <xdr:cNvPr id="194" name="矢印: 折線 193">
          <a:extLst>
            <a:ext uri="{FF2B5EF4-FFF2-40B4-BE49-F238E27FC236}">
              <a16:creationId xmlns:a16="http://schemas.microsoft.com/office/drawing/2014/main" id="{112C77D4-F03A-451F-BEB5-0811E399943A}"/>
            </a:ext>
          </a:extLst>
        </xdr:cNvPr>
        <xdr:cNvSpPr>
          <a:spLocks/>
        </xdr:cNvSpPr>
      </xdr:nvSpPr>
      <xdr:spPr>
        <a:xfrm rot="16200000" flipH="1">
          <a:off x="11256645" y="23932515"/>
          <a:ext cx="278130" cy="32766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27</xdr:col>
      <xdr:colOff>60960</xdr:colOff>
      <xdr:row>65</xdr:row>
      <xdr:rowOff>137160</xdr:rowOff>
    </xdr:from>
    <xdr:to>
      <xdr:col>29</xdr:col>
      <xdr:colOff>121920</xdr:colOff>
      <xdr:row>66</xdr:row>
      <xdr:rowOff>34290</xdr:rowOff>
    </xdr:to>
    <xdr:sp macro="" textlink="">
      <xdr:nvSpPr>
        <xdr:cNvPr id="195" name="矢印: 折線 194">
          <a:extLst>
            <a:ext uri="{FF2B5EF4-FFF2-40B4-BE49-F238E27FC236}">
              <a16:creationId xmlns:a16="http://schemas.microsoft.com/office/drawing/2014/main" id="{3A336193-5F9C-4F50-BB96-2A9285E7485D}"/>
            </a:ext>
          </a:extLst>
        </xdr:cNvPr>
        <xdr:cNvSpPr>
          <a:spLocks/>
        </xdr:cNvSpPr>
      </xdr:nvSpPr>
      <xdr:spPr>
        <a:xfrm rot="16200000" flipH="1">
          <a:off x="11306175" y="24233505"/>
          <a:ext cx="278130" cy="4724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30</xdr:col>
      <xdr:colOff>190500</xdr:colOff>
      <xdr:row>66</xdr:row>
      <xdr:rowOff>152399</xdr:rowOff>
    </xdr:from>
    <xdr:to>
      <xdr:col>32</xdr:col>
      <xdr:colOff>57150</xdr:colOff>
      <xdr:row>68</xdr:row>
      <xdr:rowOff>245743</xdr:rowOff>
    </xdr:to>
    <xdr:sp macro="" textlink="">
      <xdr:nvSpPr>
        <xdr:cNvPr id="196" name="矢印: 折線 195">
          <a:extLst>
            <a:ext uri="{FF2B5EF4-FFF2-40B4-BE49-F238E27FC236}">
              <a16:creationId xmlns:a16="http://schemas.microsoft.com/office/drawing/2014/main" id="{25BEA72B-0225-45AA-AC62-D643467E72DE}"/>
            </a:ext>
          </a:extLst>
        </xdr:cNvPr>
        <xdr:cNvSpPr>
          <a:spLocks/>
        </xdr:cNvSpPr>
      </xdr:nvSpPr>
      <xdr:spPr>
        <a:xfrm rot="10800000">
          <a:off x="11955780" y="24726899"/>
          <a:ext cx="278130" cy="855344"/>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30</xdr:col>
      <xdr:colOff>38100</xdr:colOff>
      <xdr:row>66</xdr:row>
      <xdr:rowOff>106680</xdr:rowOff>
    </xdr:from>
    <xdr:to>
      <xdr:col>32</xdr:col>
      <xdr:colOff>99060</xdr:colOff>
      <xdr:row>67</xdr:row>
      <xdr:rowOff>3810</xdr:rowOff>
    </xdr:to>
    <xdr:sp macro="" textlink="">
      <xdr:nvSpPr>
        <xdr:cNvPr id="197" name="矢印: 折線 196">
          <a:extLst>
            <a:ext uri="{FF2B5EF4-FFF2-40B4-BE49-F238E27FC236}">
              <a16:creationId xmlns:a16="http://schemas.microsoft.com/office/drawing/2014/main" id="{927CC62F-0508-4411-AB9C-D437E57BF518}"/>
            </a:ext>
          </a:extLst>
        </xdr:cNvPr>
        <xdr:cNvSpPr>
          <a:spLocks/>
        </xdr:cNvSpPr>
      </xdr:nvSpPr>
      <xdr:spPr>
        <a:xfrm rot="5400000">
          <a:off x="11900535" y="24584025"/>
          <a:ext cx="278130" cy="4724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27</xdr:col>
      <xdr:colOff>114300</xdr:colOff>
      <xdr:row>66</xdr:row>
      <xdr:rowOff>266699</xdr:rowOff>
    </xdr:from>
    <xdr:to>
      <xdr:col>29</xdr:col>
      <xdr:colOff>186690</xdr:colOff>
      <xdr:row>70</xdr:row>
      <xdr:rowOff>291462</xdr:rowOff>
    </xdr:to>
    <xdr:sp macro="" textlink="">
      <xdr:nvSpPr>
        <xdr:cNvPr id="198" name="矢印: 折線 197">
          <a:extLst>
            <a:ext uri="{FF2B5EF4-FFF2-40B4-BE49-F238E27FC236}">
              <a16:creationId xmlns:a16="http://schemas.microsoft.com/office/drawing/2014/main" id="{72786539-BEF9-48CB-8B0D-036B602C51F9}"/>
            </a:ext>
          </a:extLst>
        </xdr:cNvPr>
        <xdr:cNvSpPr>
          <a:spLocks/>
        </xdr:cNvSpPr>
      </xdr:nvSpPr>
      <xdr:spPr>
        <a:xfrm rot="10800000" flipH="1">
          <a:off x="11262360" y="24841199"/>
          <a:ext cx="483870" cy="1548763"/>
        </a:xfrm>
        <a:prstGeom prst="bentArrow">
          <a:avLst>
            <a:gd name="adj1" fmla="val 13134"/>
            <a:gd name="adj2" fmla="val 16339"/>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29</xdr:col>
      <xdr:colOff>182880</xdr:colOff>
      <xdr:row>76</xdr:row>
      <xdr:rowOff>91440</xdr:rowOff>
    </xdr:from>
    <xdr:to>
      <xdr:col>31</xdr:col>
      <xdr:colOff>49530</xdr:colOff>
      <xdr:row>78</xdr:row>
      <xdr:rowOff>291465</xdr:rowOff>
    </xdr:to>
    <xdr:sp macro="" textlink="">
      <xdr:nvSpPr>
        <xdr:cNvPr id="199" name="矢印: 折線 198">
          <a:extLst>
            <a:ext uri="{FF2B5EF4-FFF2-40B4-BE49-F238E27FC236}">
              <a16:creationId xmlns:a16="http://schemas.microsoft.com/office/drawing/2014/main" id="{F870C816-4425-4996-945D-E9C8221DF42F}"/>
            </a:ext>
          </a:extLst>
        </xdr:cNvPr>
        <xdr:cNvSpPr>
          <a:spLocks/>
        </xdr:cNvSpPr>
      </xdr:nvSpPr>
      <xdr:spPr>
        <a:xfrm rot="10800000" flipH="1">
          <a:off x="11742420" y="28475940"/>
          <a:ext cx="278130" cy="962025"/>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29</xdr:col>
      <xdr:colOff>129540</xdr:colOff>
      <xdr:row>77</xdr:row>
      <xdr:rowOff>144780</xdr:rowOff>
    </xdr:from>
    <xdr:to>
      <xdr:col>31</xdr:col>
      <xdr:colOff>190500</xdr:colOff>
      <xdr:row>78</xdr:row>
      <xdr:rowOff>41910</xdr:rowOff>
    </xdr:to>
    <xdr:sp macro="" textlink="">
      <xdr:nvSpPr>
        <xdr:cNvPr id="200" name="矢印: 折線 199">
          <a:extLst>
            <a:ext uri="{FF2B5EF4-FFF2-40B4-BE49-F238E27FC236}">
              <a16:creationId xmlns:a16="http://schemas.microsoft.com/office/drawing/2014/main" id="{783FA0FF-0F00-4187-AC69-199F900B1B5B}"/>
            </a:ext>
          </a:extLst>
        </xdr:cNvPr>
        <xdr:cNvSpPr>
          <a:spLocks/>
        </xdr:cNvSpPr>
      </xdr:nvSpPr>
      <xdr:spPr>
        <a:xfrm rot="16200000" flipH="1">
          <a:off x="11786235" y="28813125"/>
          <a:ext cx="278130" cy="4724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29</xdr:col>
      <xdr:colOff>144780</xdr:colOff>
      <xdr:row>76</xdr:row>
      <xdr:rowOff>91440</xdr:rowOff>
    </xdr:from>
    <xdr:to>
      <xdr:col>32</xdr:col>
      <xdr:colOff>0</xdr:colOff>
      <xdr:row>76</xdr:row>
      <xdr:rowOff>369570</xdr:rowOff>
    </xdr:to>
    <xdr:sp macro="" textlink="">
      <xdr:nvSpPr>
        <xdr:cNvPr id="201" name="矢印: 折線 200">
          <a:extLst>
            <a:ext uri="{FF2B5EF4-FFF2-40B4-BE49-F238E27FC236}">
              <a16:creationId xmlns:a16="http://schemas.microsoft.com/office/drawing/2014/main" id="{35B1C9D1-77B7-4CF4-B4A2-AC6106435686}"/>
            </a:ext>
          </a:extLst>
        </xdr:cNvPr>
        <xdr:cNvSpPr>
          <a:spLocks/>
        </xdr:cNvSpPr>
      </xdr:nvSpPr>
      <xdr:spPr>
        <a:xfrm rot="16200000" flipH="1">
          <a:off x="11801475" y="28378785"/>
          <a:ext cx="278130" cy="4724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31</xdr:col>
      <xdr:colOff>20954</xdr:colOff>
      <xdr:row>82</xdr:row>
      <xdr:rowOff>144780</xdr:rowOff>
    </xdr:from>
    <xdr:to>
      <xdr:col>35</xdr:col>
      <xdr:colOff>182879</xdr:colOff>
      <xdr:row>84</xdr:row>
      <xdr:rowOff>253366</xdr:rowOff>
    </xdr:to>
    <xdr:sp macro="" textlink="">
      <xdr:nvSpPr>
        <xdr:cNvPr id="202" name="矢印: 折線 201">
          <a:extLst>
            <a:ext uri="{FF2B5EF4-FFF2-40B4-BE49-F238E27FC236}">
              <a16:creationId xmlns:a16="http://schemas.microsoft.com/office/drawing/2014/main" id="{0B85A59E-EB2E-4200-A9E9-58607C69500F}"/>
            </a:ext>
          </a:extLst>
        </xdr:cNvPr>
        <xdr:cNvSpPr>
          <a:spLocks/>
        </xdr:cNvSpPr>
      </xdr:nvSpPr>
      <xdr:spPr>
        <a:xfrm rot="10800000" flipH="1">
          <a:off x="11991974" y="30815280"/>
          <a:ext cx="984885" cy="870586"/>
        </a:xfrm>
        <a:prstGeom prst="bentArrow">
          <a:avLst>
            <a:gd name="adj1" fmla="val 3506"/>
            <a:gd name="adj2" fmla="val 9253"/>
            <a:gd name="adj3" fmla="val 12903"/>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30</xdr:col>
      <xdr:colOff>167640</xdr:colOff>
      <xdr:row>82</xdr:row>
      <xdr:rowOff>175260</xdr:rowOff>
    </xdr:from>
    <xdr:to>
      <xdr:col>32</xdr:col>
      <xdr:colOff>22860</xdr:colOff>
      <xdr:row>83</xdr:row>
      <xdr:rowOff>72390</xdr:rowOff>
    </xdr:to>
    <xdr:sp macro="" textlink="">
      <xdr:nvSpPr>
        <xdr:cNvPr id="203" name="矢印: 折線 202">
          <a:extLst>
            <a:ext uri="{FF2B5EF4-FFF2-40B4-BE49-F238E27FC236}">
              <a16:creationId xmlns:a16="http://schemas.microsoft.com/office/drawing/2014/main" id="{7EC7E4EE-E97B-4C94-8049-45F5089383EA}"/>
            </a:ext>
          </a:extLst>
        </xdr:cNvPr>
        <xdr:cNvSpPr>
          <a:spLocks/>
        </xdr:cNvSpPr>
      </xdr:nvSpPr>
      <xdr:spPr>
        <a:xfrm rot="16200000" flipH="1">
          <a:off x="11927205" y="30851475"/>
          <a:ext cx="278130" cy="26670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30</xdr:col>
      <xdr:colOff>182880</xdr:colOff>
      <xdr:row>83</xdr:row>
      <xdr:rowOff>160020</xdr:rowOff>
    </xdr:from>
    <xdr:to>
      <xdr:col>33</xdr:col>
      <xdr:colOff>38100</xdr:colOff>
      <xdr:row>84</xdr:row>
      <xdr:rowOff>57150</xdr:rowOff>
    </xdr:to>
    <xdr:sp macro="" textlink="">
      <xdr:nvSpPr>
        <xdr:cNvPr id="204" name="矢印: 折線 203">
          <a:extLst>
            <a:ext uri="{FF2B5EF4-FFF2-40B4-BE49-F238E27FC236}">
              <a16:creationId xmlns:a16="http://schemas.microsoft.com/office/drawing/2014/main" id="{1303C1EB-083B-4588-862E-B94EB8F67D2F}"/>
            </a:ext>
          </a:extLst>
        </xdr:cNvPr>
        <xdr:cNvSpPr>
          <a:spLocks/>
        </xdr:cNvSpPr>
      </xdr:nvSpPr>
      <xdr:spPr>
        <a:xfrm rot="16200000" flipH="1">
          <a:off x="12045315" y="31114365"/>
          <a:ext cx="278130" cy="4724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35</xdr:col>
      <xdr:colOff>99060</xdr:colOff>
      <xdr:row>87</xdr:row>
      <xdr:rowOff>167640</xdr:rowOff>
    </xdr:from>
    <xdr:to>
      <xdr:col>36</xdr:col>
      <xdr:colOff>190499</xdr:colOff>
      <xdr:row>89</xdr:row>
      <xdr:rowOff>276226</xdr:rowOff>
    </xdr:to>
    <xdr:sp macro="" textlink="">
      <xdr:nvSpPr>
        <xdr:cNvPr id="205" name="矢印: 折線 204">
          <a:extLst>
            <a:ext uri="{FF2B5EF4-FFF2-40B4-BE49-F238E27FC236}">
              <a16:creationId xmlns:a16="http://schemas.microsoft.com/office/drawing/2014/main" id="{B545E1B7-8047-4D13-83F4-572801E327D0}"/>
            </a:ext>
          </a:extLst>
        </xdr:cNvPr>
        <xdr:cNvSpPr>
          <a:spLocks/>
        </xdr:cNvSpPr>
      </xdr:nvSpPr>
      <xdr:spPr>
        <a:xfrm rot="10800000" flipH="1">
          <a:off x="12893040" y="32743140"/>
          <a:ext cx="297179" cy="870586"/>
        </a:xfrm>
        <a:prstGeom prst="bentArrow">
          <a:avLst>
            <a:gd name="adj1" fmla="val 3506"/>
            <a:gd name="adj2" fmla="val 9253"/>
            <a:gd name="adj3" fmla="val 12903"/>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35</xdr:col>
      <xdr:colOff>38100</xdr:colOff>
      <xdr:row>87</xdr:row>
      <xdr:rowOff>160020</xdr:rowOff>
    </xdr:from>
    <xdr:to>
      <xdr:col>37</xdr:col>
      <xdr:colOff>99060</xdr:colOff>
      <xdr:row>88</xdr:row>
      <xdr:rowOff>57150</xdr:rowOff>
    </xdr:to>
    <xdr:sp macro="" textlink="">
      <xdr:nvSpPr>
        <xdr:cNvPr id="206" name="矢印: 折線 205">
          <a:extLst>
            <a:ext uri="{FF2B5EF4-FFF2-40B4-BE49-F238E27FC236}">
              <a16:creationId xmlns:a16="http://schemas.microsoft.com/office/drawing/2014/main" id="{DF52EB13-39D9-44CE-A2E8-3C8824469D8F}"/>
            </a:ext>
          </a:extLst>
        </xdr:cNvPr>
        <xdr:cNvSpPr>
          <a:spLocks/>
        </xdr:cNvSpPr>
      </xdr:nvSpPr>
      <xdr:spPr>
        <a:xfrm rot="16200000" flipH="1">
          <a:off x="12929235" y="32638365"/>
          <a:ext cx="278130" cy="4724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35</xdr:col>
      <xdr:colOff>22860</xdr:colOff>
      <xdr:row>88</xdr:row>
      <xdr:rowOff>167640</xdr:rowOff>
    </xdr:from>
    <xdr:to>
      <xdr:col>37</xdr:col>
      <xdr:colOff>83820</xdr:colOff>
      <xdr:row>89</xdr:row>
      <xdr:rowOff>64770</xdr:rowOff>
    </xdr:to>
    <xdr:sp macro="" textlink="">
      <xdr:nvSpPr>
        <xdr:cNvPr id="207" name="矢印: 折線 206">
          <a:extLst>
            <a:ext uri="{FF2B5EF4-FFF2-40B4-BE49-F238E27FC236}">
              <a16:creationId xmlns:a16="http://schemas.microsoft.com/office/drawing/2014/main" id="{F722BEC8-A6BA-4B97-8716-C3DC9BDD83A7}"/>
            </a:ext>
          </a:extLst>
        </xdr:cNvPr>
        <xdr:cNvSpPr>
          <a:spLocks/>
        </xdr:cNvSpPr>
      </xdr:nvSpPr>
      <xdr:spPr>
        <a:xfrm rot="16200000" flipH="1">
          <a:off x="12913995" y="33026985"/>
          <a:ext cx="278130" cy="4724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36</xdr:col>
      <xdr:colOff>99060</xdr:colOff>
      <xdr:row>93</xdr:row>
      <xdr:rowOff>121920</xdr:rowOff>
    </xdr:from>
    <xdr:to>
      <xdr:col>39</xdr:col>
      <xdr:colOff>30479</xdr:colOff>
      <xdr:row>94</xdr:row>
      <xdr:rowOff>281940</xdr:rowOff>
    </xdr:to>
    <xdr:sp macro="" textlink="">
      <xdr:nvSpPr>
        <xdr:cNvPr id="208" name="矢印: 折線 207">
          <a:extLst>
            <a:ext uri="{FF2B5EF4-FFF2-40B4-BE49-F238E27FC236}">
              <a16:creationId xmlns:a16="http://schemas.microsoft.com/office/drawing/2014/main" id="{0557CCF5-F5B6-4F70-A686-7FD0064DBF23}"/>
            </a:ext>
          </a:extLst>
        </xdr:cNvPr>
        <xdr:cNvSpPr>
          <a:spLocks/>
        </xdr:cNvSpPr>
      </xdr:nvSpPr>
      <xdr:spPr>
        <a:xfrm rot="10800000" flipH="1">
          <a:off x="13098780" y="34983420"/>
          <a:ext cx="548639" cy="541020"/>
        </a:xfrm>
        <a:prstGeom prst="bentArrow">
          <a:avLst>
            <a:gd name="adj1" fmla="val 3506"/>
            <a:gd name="adj2" fmla="val 9253"/>
            <a:gd name="adj3" fmla="val 12903"/>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36</xdr:col>
      <xdr:colOff>38100</xdr:colOff>
      <xdr:row>93</xdr:row>
      <xdr:rowOff>129540</xdr:rowOff>
    </xdr:from>
    <xdr:to>
      <xdr:col>38</xdr:col>
      <xdr:colOff>99060</xdr:colOff>
      <xdr:row>94</xdr:row>
      <xdr:rowOff>26670</xdr:rowOff>
    </xdr:to>
    <xdr:sp macro="" textlink="">
      <xdr:nvSpPr>
        <xdr:cNvPr id="209" name="矢印: 折線 208">
          <a:extLst>
            <a:ext uri="{FF2B5EF4-FFF2-40B4-BE49-F238E27FC236}">
              <a16:creationId xmlns:a16="http://schemas.microsoft.com/office/drawing/2014/main" id="{DFC0AC9A-8D85-4201-9304-40D9A0136A62}"/>
            </a:ext>
          </a:extLst>
        </xdr:cNvPr>
        <xdr:cNvSpPr>
          <a:spLocks/>
        </xdr:cNvSpPr>
      </xdr:nvSpPr>
      <xdr:spPr>
        <a:xfrm rot="16200000" flipH="1">
          <a:off x="13134975" y="34893885"/>
          <a:ext cx="278130" cy="4724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40</xdr:col>
      <xdr:colOff>175260</xdr:colOff>
      <xdr:row>43</xdr:row>
      <xdr:rowOff>129540</xdr:rowOff>
    </xdr:from>
    <xdr:to>
      <xdr:col>43</xdr:col>
      <xdr:colOff>0</xdr:colOff>
      <xdr:row>46</xdr:row>
      <xdr:rowOff>289560</xdr:rowOff>
    </xdr:to>
    <xdr:sp macro="" textlink="">
      <xdr:nvSpPr>
        <xdr:cNvPr id="210" name="矢印: 折線 209">
          <a:extLst>
            <a:ext uri="{FF2B5EF4-FFF2-40B4-BE49-F238E27FC236}">
              <a16:creationId xmlns:a16="http://schemas.microsoft.com/office/drawing/2014/main" id="{9A5C826F-269A-481F-82F2-425425F17D24}"/>
            </a:ext>
          </a:extLst>
        </xdr:cNvPr>
        <xdr:cNvSpPr>
          <a:spLocks/>
        </xdr:cNvSpPr>
      </xdr:nvSpPr>
      <xdr:spPr>
        <a:xfrm rot="10800000" flipH="1">
          <a:off x="13997940" y="15941040"/>
          <a:ext cx="441960" cy="1303020"/>
        </a:xfrm>
        <a:prstGeom prst="bentArrow">
          <a:avLst>
            <a:gd name="adj1" fmla="val 5657"/>
            <a:gd name="adj2" fmla="val 14720"/>
            <a:gd name="adj3" fmla="val 25000"/>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40</xdr:col>
      <xdr:colOff>114300</xdr:colOff>
      <xdr:row>43</xdr:row>
      <xdr:rowOff>99060</xdr:rowOff>
    </xdr:from>
    <xdr:to>
      <xdr:col>42</xdr:col>
      <xdr:colOff>60960</xdr:colOff>
      <xdr:row>43</xdr:row>
      <xdr:rowOff>377190</xdr:rowOff>
    </xdr:to>
    <xdr:sp macro="" textlink="">
      <xdr:nvSpPr>
        <xdr:cNvPr id="212" name="矢印: 折線 211">
          <a:extLst>
            <a:ext uri="{FF2B5EF4-FFF2-40B4-BE49-F238E27FC236}">
              <a16:creationId xmlns:a16="http://schemas.microsoft.com/office/drawing/2014/main" id="{5F26025A-16CA-4C62-AD2E-DFC2349051B0}"/>
            </a:ext>
          </a:extLst>
        </xdr:cNvPr>
        <xdr:cNvSpPr>
          <a:spLocks/>
        </xdr:cNvSpPr>
      </xdr:nvSpPr>
      <xdr:spPr>
        <a:xfrm rot="16200000" flipH="1">
          <a:off x="13976985" y="15870555"/>
          <a:ext cx="278130" cy="3581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40</xdr:col>
      <xdr:colOff>99060</xdr:colOff>
      <xdr:row>44</xdr:row>
      <xdr:rowOff>106680</xdr:rowOff>
    </xdr:from>
    <xdr:to>
      <xdr:col>42</xdr:col>
      <xdr:colOff>121920</xdr:colOff>
      <xdr:row>45</xdr:row>
      <xdr:rowOff>3810</xdr:rowOff>
    </xdr:to>
    <xdr:sp macro="" textlink="">
      <xdr:nvSpPr>
        <xdr:cNvPr id="213" name="矢印: 折線 212">
          <a:extLst>
            <a:ext uri="{FF2B5EF4-FFF2-40B4-BE49-F238E27FC236}">
              <a16:creationId xmlns:a16="http://schemas.microsoft.com/office/drawing/2014/main" id="{2392D487-456F-40B7-9678-334B4E5F3986}"/>
            </a:ext>
          </a:extLst>
        </xdr:cNvPr>
        <xdr:cNvSpPr>
          <a:spLocks/>
        </xdr:cNvSpPr>
      </xdr:nvSpPr>
      <xdr:spPr>
        <a:xfrm rot="16200000" flipH="1">
          <a:off x="13999845" y="16221075"/>
          <a:ext cx="278130" cy="4343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40</xdr:col>
      <xdr:colOff>106680</xdr:colOff>
      <xdr:row>45</xdr:row>
      <xdr:rowOff>106680</xdr:rowOff>
    </xdr:from>
    <xdr:to>
      <xdr:col>42</xdr:col>
      <xdr:colOff>121920</xdr:colOff>
      <xdr:row>46</xdr:row>
      <xdr:rowOff>3810</xdr:rowOff>
    </xdr:to>
    <xdr:sp macro="" textlink="">
      <xdr:nvSpPr>
        <xdr:cNvPr id="214" name="矢印: 折線 213">
          <a:extLst>
            <a:ext uri="{FF2B5EF4-FFF2-40B4-BE49-F238E27FC236}">
              <a16:creationId xmlns:a16="http://schemas.microsoft.com/office/drawing/2014/main" id="{49A0E992-DF99-475D-B1EA-204F8CB20C5C}"/>
            </a:ext>
          </a:extLst>
        </xdr:cNvPr>
        <xdr:cNvSpPr>
          <a:spLocks/>
        </xdr:cNvSpPr>
      </xdr:nvSpPr>
      <xdr:spPr>
        <a:xfrm rot="16200000" flipH="1">
          <a:off x="14003655" y="16605885"/>
          <a:ext cx="278130" cy="42672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42</xdr:col>
      <xdr:colOff>114300</xdr:colOff>
      <xdr:row>98</xdr:row>
      <xdr:rowOff>205740</xdr:rowOff>
    </xdr:from>
    <xdr:to>
      <xdr:col>43</xdr:col>
      <xdr:colOff>205739</xdr:colOff>
      <xdr:row>100</xdr:row>
      <xdr:rowOff>236220</xdr:rowOff>
    </xdr:to>
    <xdr:sp macro="" textlink="">
      <xdr:nvSpPr>
        <xdr:cNvPr id="215" name="矢印: 折線 214">
          <a:extLst>
            <a:ext uri="{FF2B5EF4-FFF2-40B4-BE49-F238E27FC236}">
              <a16:creationId xmlns:a16="http://schemas.microsoft.com/office/drawing/2014/main" id="{B714BD00-35FD-4B55-9413-EF951422A16D}"/>
            </a:ext>
          </a:extLst>
        </xdr:cNvPr>
        <xdr:cNvSpPr>
          <a:spLocks/>
        </xdr:cNvSpPr>
      </xdr:nvSpPr>
      <xdr:spPr>
        <a:xfrm rot="10800000" flipH="1">
          <a:off x="14348460" y="36972240"/>
          <a:ext cx="297179" cy="792480"/>
        </a:xfrm>
        <a:prstGeom prst="bentArrow">
          <a:avLst>
            <a:gd name="adj1" fmla="val 3506"/>
            <a:gd name="adj2" fmla="val 9253"/>
            <a:gd name="adj3" fmla="val 12903"/>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42</xdr:col>
      <xdr:colOff>45720</xdr:colOff>
      <xdr:row>98</xdr:row>
      <xdr:rowOff>182880</xdr:rowOff>
    </xdr:from>
    <xdr:to>
      <xdr:col>44</xdr:col>
      <xdr:colOff>106680</xdr:colOff>
      <xdr:row>99</xdr:row>
      <xdr:rowOff>80010</xdr:rowOff>
    </xdr:to>
    <xdr:sp macro="" textlink="">
      <xdr:nvSpPr>
        <xdr:cNvPr id="216" name="矢印: 折線 215">
          <a:extLst>
            <a:ext uri="{FF2B5EF4-FFF2-40B4-BE49-F238E27FC236}">
              <a16:creationId xmlns:a16="http://schemas.microsoft.com/office/drawing/2014/main" id="{BB0FA3EB-3AB5-4651-BC8C-77D10FBB61D7}"/>
            </a:ext>
          </a:extLst>
        </xdr:cNvPr>
        <xdr:cNvSpPr>
          <a:spLocks/>
        </xdr:cNvSpPr>
      </xdr:nvSpPr>
      <xdr:spPr>
        <a:xfrm rot="16200000" flipH="1">
          <a:off x="14377035" y="36852225"/>
          <a:ext cx="278130" cy="4724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42</xdr:col>
      <xdr:colOff>53340</xdr:colOff>
      <xdr:row>99</xdr:row>
      <xdr:rowOff>106680</xdr:rowOff>
    </xdr:from>
    <xdr:to>
      <xdr:col>44</xdr:col>
      <xdr:colOff>114300</xdr:colOff>
      <xdr:row>100</xdr:row>
      <xdr:rowOff>3810</xdr:rowOff>
    </xdr:to>
    <xdr:sp macro="" textlink="">
      <xdr:nvSpPr>
        <xdr:cNvPr id="217" name="矢印: 折線 216">
          <a:extLst>
            <a:ext uri="{FF2B5EF4-FFF2-40B4-BE49-F238E27FC236}">
              <a16:creationId xmlns:a16="http://schemas.microsoft.com/office/drawing/2014/main" id="{89597D25-C07E-4DAB-89E3-4B807D9CDC70}"/>
            </a:ext>
          </a:extLst>
        </xdr:cNvPr>
        <xdr:cNvSpPr>
          <a:spLocks/>
        </xdr:cNvSpPr>
      </xdr:nvSpPr>
      <xdr:spPr>
        <a:xfrm rot="16200000" flipH="1">
          <a:off x="14384655" y="37157025"/>
          <a:ext cx="278130" cy="4724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42</xdr:col>
      <xdr:colOff>144780</xdr:colOff>
      <xdr:row>100</xdr:row>
      <xdr:rowOff>198120</xdr:rowOff>
    </xdr:from>
    <xdr:to>
      <xdr:col>44</xdr:col>
      <xdr:colOff>182879</xdr:colOff>
      <xdr:row>104</xdr:row>
      <xdr:rowOff>228600</xdr:rowOff>
    </xdr:to>
    <xdr:sp macro="" textlink="">
      <xdr:nvSpPr>
        <xdr:cNvPr id="218" name="矢印: 折線 217">
          <a:extLst>
            <a:ext uri="{FF2B5EF4-FFF2-40B4-BE49-F238E27FC236}">
              <a16:creationId xmlns:a16="http://schemas.microsoft.com/office/drawing/2014/main" id="{89CB2E2A-959B-4ADB-9CF1-026C135F6BDF}"/>
            </a:ext>
          </a:extLst>
        </xdr:cNvPr>
        <xdr:cNvSpPr>
          <a:spLocks/>
        </xdr:cNvSpPr>
      </xdr:nvSpPr>
      <xdr:spPr>
        <a:xfrm rot="10800000" flipH="1">
          <a:off x="14378940" y="37726620"/>
          <a:ext cx="449579" cy="1554480"/>
        </a:xfrm>
        <a:prstGeom prst="bentArrow">
          <a:avLst>
            <a:gd name="adj1" fmla="val 3506"/>
            <a:gd name="adj2" fmla="val 9253"/>
            <a:gd name="adj3" fmla="val 12903"/>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44</xdr:col>
      <xdr:colOff>76200</xdr:colOff>
      <xdr:row>107</xdr:row>
      <xdr:rowOff>190500</xdr:rowOff>
    </xdr:from>
    <xdr:to>
      <xdr:col>45</xdr:col>
      <xdr:colOff>167639</xdr:colOff>
      <xdr:row>109</xdr:row>
      <xdr:rowOff>220980</xdr:rowOff>
    </xdr:to>
    <xdr:sp macro="" textlink="">
      <xdr:nvSpPr>
        <xdr:cNvPr id="219" name="矢印: 折線 218">
          <a:extLst>
            <a:ext uri="{FF2B5EF4-FFF2-40B4-BE49-F238E27FC236}">
              <a16:creationId xmlns:a16="http://schemas.microsoft.com/office/drawing/2014/main" id="{54326CAD-7BB4-44B0-BE21-BE60C148BF68}"/>
            </a:ext>
          </a:extLst>
        </xdr:cNvPr>
        <xdr:cNvSpPr>
          <a:spLocks/>
        </xdr:cNvSpPr>
      </xdr:nvSpPr>
      <xdr:spPr>
        <a:xfrm rot="10800000" flipH="1">
          <a:off x="14721840" y="40386000"/>
          <a:ext cx="297179" cy="792480"/>
        </a:xfrm>
        <a:prstGeom prst="bentArrow">
          <a:avLst>
            <a:gd name="adj1" fmla="val 3506"/>
            <a:gd name="adj2" fmla="val 9253"/>
            <a:gd name="adj3" fmla="val 12903"/>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44</xdr:col>
      <xdr:colOff>7620</xdr:colOff>
      <xdr:row>108</xdr:row>
      <xdr:rowOff>106680</xdr:rowOff>
    </xdr:from>
    <xdr:to>
      <xdr:col>46</xdr:col>
      <xdr:colOff>68580</xdr:colOff>
      <xdr:row>109</xdr:row>
      <xdr:rowOff>3810</xdr:rowOff>
    </xdr:to>
    <xdr:sp macro="" textlink="">
      <xdr:nvSpPr>
        <xdr:cNvPr id="220" name="矢印: 折線 219">
          <a:extLst>
            <a:ext uri="{FF2B5EF4-FFF2-40B4-BE49-F238E27FC236}">
              <a16:creationId xmlns:a16="http://schemas.microsoft.com/office/drawing/2014/main" id="{5D1E8B72-52B5-45F8-902D-2238C37DB626}"/>
            </a:ext>
          </a:extLst>
        </xdr:cNvPr>
        <xdr:cNvSpPr>
          <a:spLocks/>
        </xdr:cNvSpPr>
      </xdr:nvSpPr>
      <xdr:spPr>
        <a:xfrm rot="16200000" flipH="1">
          <a:off x="14750415" y="40586025"/>
          <a:ext cx="278130" cy="4724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44</xdr:col>
      <xdr:colOff>22860</xdr:colOff>
      <xdr:row>107</xdr:row>
      <xdr:rowOff>76200</xdr:rowOff>
    </xdr:from>
    <xdr:to>
      <xdr:col>46</xdr:col>
      <xdr:colOff>83820</xdr:colOff>
      <xdr:row>107</xdr:row>
      <xdr:rowOff>354330</xdr:rowOff>
    </xdr:to>
    <xdr:sp macro="" textlink="">
      <xdr:nvSpPr>
        <xdr:cNvPr id="221" name="矢印: 折線 220">
          <a:extLst>
            <a:ext uri="{FF2B5EF4-FFF2-40B4-BE49-F238E27FC236}">
              <a16:creationId xmlns:a16="http://schemas.microsoft.com/office/drawing/2014/main" id="{B6462C35-E814-468E-B1AF-1DAC2F185704}"/>
            </a:ext>
          </a:extLst>
        </xdr:cNvPr>
        <xdr:cNvSpPr>
          <a:spLocks/>
        </xdr:cNvSpPr>
      </xdr:nvSpPr>
      <xdr:spPr>
        <a:xfrm rot="16200000" flipH="1">
          <a:off x="14765655" y="40174545"/>
          <a:ext cx="278130" cy="4724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44</xdr:col>
      <xdr:colOff>99060</xdr:colOff>
      <xdr:row>109</xdr:row>
      <xdr:rowOff>236220</xdr:rowOff>
    </xdr:from>
    <xdr:to>
      <xdr:col>50</xdr:col>
      <xdr:colOff>190500</xdr:colOff>
      <xdr:row>115</xdr:row>
      <xdr:rowOff>297180</xdr:rowOff>
    </xdr:to>
    <xdr:sp macro="" textlink="">
      <xdr:nvSpPr>
        <xdr:cNvPr id="222" name="矢印: 折線 221">
          <a:extLst>
            <a:ext uri="{FF2B5EF4-FFF2-40B4-BE49-F238E27FC236}">
              <a16:creationId xmlns:a16="http://schemas.microsoft.com/office/drawing/2014/main" id="{BCA96C30-1ACA-4B4E-B2A6-A416AB7D9DAC}"/>
            </a:ext>
          </a:extLst>
        </xdr:cNvPr>
        <xdr:cNvSpPr>
          <a:spLocks/>
        </xdr:cNvSpPr>
      </xdr:nvSpPr>
      <xdr:spPr>
        <a:xfrm rot="10800000" flipH="1">
          <a:off x="14744700" y="41193720"/>
          <a:ext cx="1325880" cy="2346960"/>
        </a:xfrm>
        <a:prstGeom prst="bentArrow">
          <a:avLst>
            <a:gd name="adj1" fmla="val 3506"/>
            <a:gd name="adj2" fmla="val 9253"/>
            <a:gd name="adj3" fmla="val 12903"/>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44</xdr:col>
      <xdr:colOff>89534</xdr:colOff>
      <xdr:row>114</xdr:row>
      <xdr:rowOff>68579</xdr:rowOff>
    </xdr:from>
    <xdr:to>
      <xdr:col>50</xdr:col>
      <xdr:colOff>30480</xdr:colOff>
      <xdr:row>114</xdr:row>
      <xdr:rowOff>350520</xdr:rowOff>
    </xdr:to>
    <xdr:sp macro="" textlink="">
      <xdr:nvSpPr>
        <xdr:cNvPr id="223" name="矢印: 折線 222">
          <a:extLst>
            <a:ext uri="{FF2B5EF4-FFF2-40B4-BE49-F238E27FC236}">
              <a16:creationId xmlns:a16="http://schemas.microsoft.com/office/drawing/2014/main" id="{2B81DBD2-BEE8-4993-863C-680E3E8437DD}"/>
            </a:ext>
          </a:extLst>
        </xdr:cNvPr>
        <xdr:cNvSpPr>
          <a:spLocks/>
        </xdr:cNvSpPr>
      </xdr:nvSpPr>
      <xdr:spPr>
        <a:xfrm>
          <a:off x="14735174" y="42931079"/>
          <a:ext cx="1175386" cy="281941"/>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51</xdr:col>
      <xdr:colOff>68580</xdr:colOff>
      <xdr:row>118</xdr:row>
      <xdr:rowOff>160020</xdr:rowOff>
    </xdr:from>
    <xdr:to>
      <xdr:col>52</xdr:col>
      <xdr:colOff>160019</xdr:colOff>
      <xdr:row>120</xdr:row>
      <xdr:rowOff>243840</xdr:rowOff>
    </xdr:to>
    <xdr:sp macro="" textlink="">
      <xdr:nvSpPr>
        <xdr:cNvPr id="224" name="矢印: 折線 223">
          <a:extLst>
            <a:ext uri="{FF2B5EF4-FFF2-40B4-BE49-F238E27FC236}">
              <a16:creationId xmlns:a16="http://schemas.microsoft.com/office/drawing/2014/main" id="{7867F0CD-ACD8-493F-9331-108367CEEA97}"/>
            </a:ext>
          </a:extLst>
        </xdr:cNvPr>
        <xdr:cNvSpPr>
          <a:spLocks/>
        </xdr:cNvSpPr>
      </xdr:nvSpPr>
      <xdr:spPr>
        <a:xfrm rot="10800000" flipH="1">
          <a:off x="16154400" y="44546520"/>
          <a:ext cx="297179" cy="845820"/>
        </a:xfrm>
        <a:prstGeom prst="bentArrow">
          <a:avLst>
            <a:gd name="adj1" fmla="val 3506"/>
            <a:gd name="adj2" fmla="val 9253"/>
            <a:gd name="adj3" fmla="val 12903"/>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51</xdr:col>
      <xdr:colOff>22860</xdr:colOff>
      <xdr:row>119</xdr:row>
      <xdr:rowOff>83820</xdr:rowOff>
    </xdr:from>
    <xdr:to>
      <xdr:col>53</xdr:col>
      <xdr:colOff>83820</xdr:colOff>
      <xdr:row>119</xdr:row>
      <xdr:rowOff>361950</xdr:rowOff>
    </xdr:to>
    <xdr:sp macro="" textlink="">
      <xdr:nvSpPr>
        <xdr:cNvPr id="225" name="矢印: 折線 224">
          <a:extLst>
            <a:ext uri="{FF2B5EF4-FFF2-40B4-BE49-F238E27FC236}">
              <a16:creationId xmlns:a16="http://schemas.microsoft.com/office/drawing/2014/main" id="{872C8B84-B2A9-491D-AD58-C99AD8A5A863}"/>
            </a:ext>
          </a:extLst>
        </xdr:cNvPr>
        <xdr:cNvSpPr>
          <a:spLocks/>
        </xdr:cNvSpPr>
      </xdr:nvSpPr>
      <xdr:spPr>
        <a:xfrm rot="16200000" flipH="1">
          <a:off x="16205835" y="44754165"/>
          <a:ext cx="278130" cy="4724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51</xdr:col>
      <xdr:colOff>30480</xdr:colOff>
      <xdr:row>118</xdr:row>
      <xdr:rowOff>106680</xdr:rowOff>
    </xdr:from>
    <xdr:to>
      <xdr:col>53</xdr:col>
      <xdr:colOff>91440</xdr:colOff>
      <xdr:row>119</xdr:row>
      <xdr:rowOff>3810</xdr:rowOff>
    </xdr:to>
    <xdr:sp macro="" textlink="">
      <xdr:nvSpPr>
        <xdr:cNvPr id="226" name="矢印: 折線 225">
          <a:extLst>
            <a:ext uri="{FF2B5EF4-FFF2-40B4-BE49-F238E27FC236}">
              <a16:creationId xmlns:a16="http://schemas.microsoft.com/office/drawing/2014/main" id="{4B97F880-9D11-4678-8308-DD5AE5B9A6FE}"/>
            </a:ext>
          </a:extLst>
        </xdr:cNvPr>
        <xdr:cNvSpPr>
          <a:spLocks/>
        </xdr:cNvSpPr>
      </xdr:nvSpPr>
      <xdr:spPr>
        <a:xfrm rot="16200000" flipH="1">
          <a:off x="16213455" y="44396025"/>
          <a:ext cx="278130" cy="4724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43</xdr:col>
      <xdr:colOff>7620</xdr:colOff>
      <xdr:row>41</xdr:row>
      <xdr:rowOff>167640</xdr:rowOff>
    </xdr:from>
    <xdr:to>
      <xdr:col>56</xdr:col>
      <xdr:colOff>38100</xdr:colOff>
      <xdr:row>124</xdr:row>
      <xdr:rowOff>259080</xdr:rowOff>
    </xdr:to>
    <xdr:sp macro="" textlink="">
      <xdr:nvSpPr>
        <xdr:cNvPr id="227" name="矢印: 折線 226">
          <a:extLst>
            <a:ext uri="{FF2B5EF4-FFF2-40B4-BE49-F238E27FC236}">
              <a16:creationId xmlns:a16="http://schemas.microsoft.com/office/drawing/2014/main" id="{9C4D5F0D-E2DF-4DE4-9E08-461EAF636124}"/>
            </a:ext>
          </a:extLst>
        </xdr:cNvPr>
        <xdr:cNvSpPr>
          <a:spLocks/>
        </xdr:cNvSpPr>
      </xdr:nvSpPr>
      <xdr:spPr>
        <a:xfrm rot="5400000">
          <a:off x="-57150" y="29721810"/>
          <a:ext cx="31714440" cy="2705100"/>
        </a:xfrm>
        <a:prstGeom prst="bentArrow">
          <a:avLst>
            <a:gd name="adj1" fmla="val 1395"/>
            <a:gd name="adj2" fmla="val 4022"/>
            <a:gd name="adj3" fmla="val 3629"/>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52</xdr:col>
      <xdr:colOff>114300</xdr:colOff>
      <xdr:row>124</xdr:row>
      <xdr:rowOff>129540</xdr:rowOff>
    </xdr:from>
    <xdr:to>
      <xdr:col>56</xdr:col>
      <xdr:colOff>190500</xdr:colOff>
      <xdr:row>127</xdr:row>
      <xdr:rowOff>289560</xdr:rowOff>
    </xdr:to>
    <xdr:sp macro="" textlink="">
      <xdr:nvSpPr>
        <xdr:cNvPr id="228" name="矢印: 折線 227">
          <a:extLst>
            <a:ext uri="{FF2B5EF4-FFF2-40B4-BE49-F238E27FC236}">
              <a16:creationId xmlns:a16="http://schemas.microsoft.com/office/drawing/2014/main" id="{6A133B97-5D5E-499D-9575-C60BCE6C1001}"/>
            </a:ext>
          </a:extLst>
        </xdr:cNvPr>
        <xdr:cNvSpPr>
          <a:spLocks/>
        </xdr:cNvSpPr>
      </xdr:nvSpPr>
      <xdr:spPr>
        <a:xfrm rot="10800000" flipH="1">
          <a:off x="16405860" y="46802040"/>
          <a:ext cx="899160" cy="1303020"/>
        </a:xfrm>
        <a:prstGeom prst="bentArrow">
          <a:avLst>
            <a:gd name="adj1" fmla="val 3506"/>
            <a:gd name="adj2" fmla="val 9253"/>
            <a:gd name="adj3" fmla="val 12903"/>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52</xdr:col>
      <xdr:colOff>45720</xdr:colOff>
      <xdr:row>125</xdr:row>
      <xdr:rowOff>160020</xdr:rowOff>
    </xdr:from>
    <xdr:to>
      <xdr:col>54</xdr:col>
      <xdr:colOff>106680</xdr:colOff>
      <xdr:row>126</xdr:row>
      <xdr:rowOff>57150</xdr:rowOff>
    </xdr:to>
    <xdr:sp macro="" textlink="">
      <xdr:nvSpPr>
        <xdr:cNvPr id="229" name="矢印: 折線 228">
          <a:extLst>
            <a:ext uri="{FF2B5EF4-FFF2-40B4-BE49-F238E27FC236}">
              <a16:creationId xmlns:a16="http://schemas.microsoft.com/office/drawing/2014/main" id="{FCE13C8C-1C18-4890-AF72-A6E9B307FD09}"/>
            </a:ext>
          </a:extLst>
        </xdr:cNvPr>
        <xdr:cNvSpPr>
          <a:spLocks/>
        </xdr:cNvSpPr>
      </xdr:nvSpPr>
      <xdr:spPr>
        <a:xfrm rot="16200000" flipH="1">
          <a:off x="16434435" y="47116365"/>
          <a:ext cx="278130" cy="4724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52</xdr:col>
      <xdr:colOff>76200</xdr:colOff>
      <xdr:row>124</xdr:row>
      <xdr:rowOff>99060</xdr:rowOff>
    </xdr:from>
    <xdr:to>
      <xdr:col>54</xdr:col>
      <xdr:colOff>137160</xdr:colOff>
      <xdr:row>124</xdr:row>
      <xdr:rowOff>377190</xdr:rowOff>
    </xdr:to>
    <xdr:sp macro="" textlink="">
      <xdr:nvSpPr>
        <xdr:cNvPr id="230" name="矢印: 折線 229">
          <a:extLst>
            <a:ext uri="{FF2B5EF4-FFF2-40B4-BE49-F238E27FC236}">
              <a16:creationId xmlns:a16="http://schemas.microsoft.com/office/drawing/2014/main" id="{4552D396-E734-4FB5-8A1E-EBC1BC1A024F}"/>
            </a:ext>
          </a:extLst>
        </xdr:cNvPr>
        <xdr:cNvSpPr>
          <a:spLocks/>
        </xdr:cNvSpPr>
      </xdr:nvSpPr>
      <xdr:spPr>
        <a:xfrm rot="16200000" flipH="1">
          <a:off x="16464915" y="46674405"/>
          <a:ext cx="278130" cy="4724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52</xdr:col>
      <xdr:colOff>83820</xdr:colOff>
      <xdr:row>126</xdr:row>
      <xdr:rowOff>198120</xdr:rowOff>
    </xdr:from>
    <xdr:to>
      <xdr:col>54</xdr:col>
      <xdr:colOff>144780</xdr:colOff>
      <xdr:row>127</xdr:row>
      <xdr:rowOff>95250</xdr:rowOff>
    </xdr:to>
    <xdr:sp macro="" textlink="">
      <xdr:nvSpPr>
        <xdr:cNvPr id="231" name="矢印: 折線 230">
          <a:extLst>
            <a:ext uri="{FF2B5EF4-FFF2-40B4-BE49-F238E27FC236}">
              <a16:creationId xmlns:a16="http://schemas.microsoft.com/office/drawing/2014/main" id="{94BDDDA9-297F-46DA-9A89-417FBDDF1B81}"/>
            </a:ext>
          </a:extLst>
        </xdr:cNvPr>
        <xdr:cNvSpPr>
          <a:spLocks/>
        </xdr:cNvSpPr>
      </xdr:nvSpPr>
      <xdr:spPr>
        <a:xfrm rot="16200000" flipH="1">
          <a:off x="16472535" y="47535465"/>
          <a:ext cx="278130" cy="4724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57</xdr:col>
      <xdr:colOff>129540</xdr:colOff>
      <xdr:row>131</xdr:row>
      <xdr:rowOff>137160</xdr:rowOff>
    </xdr:from>
    <xdr:to>
      <xdr:col>61</xdr:col>
      <xdr:colOff>15240</xdr:colOff>
      <xdr:row>133</xdr:row>
      <xdr:rowOff>281940</xdr:rowOff>
    </xdr:to>
    <xdr:sp macro="" textlink="">
      <xdr:nvSpPr>
        <xdr:cNvPr id="233" name="矢印: 折線 232">
          <a:extLst>
            <a:ext uri="{FF2B5EF4-FFF2-40B4-BE49-F238E27FC236}">
              <a16:creationId xmlns:a16="http://schemas.microsoft.com/office/drawing/2014/main" id="{9824C9F9-E4CC-4187-9F9B-77542112DDBE}"/>
            </a:ext>
          </a:extLst>
        </xdr:cNvPr>
        <xdr:cNvSpPr>
          <a:spLocks/>
        </xdr:cNvSpPr>
      </xdr:nvSpPr>
      <xdr:spPr>
        <a:xfrm rot="10800000" flipH="1">
          <a:off x="17449800" y="49476660"/>
          <a:ext cx="708660" cy="906780"/>
        </a:xfrm>
        <a:prstGeom prst="bentArrow">
          <a:avLst>
            <a:gd name="adj1" fmla="val 3506"/>
            <a:gd name="adj2" fmla="val 9253"/>
            <a:gd name="adj3" fmla="val 12903"/>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57</xdr:col>
      <xdr:colOff>60960</xdr:colOff>
      <xdr:row>132</xdr:row>
      <xdr:rowOff>106680</xdr:rowOff>
    </xdr:from>
    <xdr:to>
      <xdr:col>60</xdr:col>
      <xdr:colOff>106680</xdr:colOff>
      <xdr:row>133</xdr:row>
      <xdr:rowOff>3810</xdr:rowOff>
    </xdr:to>
    <xdr:sp macro="" textlink="">
      <xdr:nvSpPr>
        <xdr:cNvPr id="234" name="矢印: 折線 233">
          <a:extLst>
            <a:ext uri="{FF2B5EF4-FFF2-40B4-BE49-F238E27FC236}">
              <a16:creationId xmlns:a16="http://schemas.microsoft.com/office/drawing/2014/main" id="{EFFAF4A4-D85D-4FDF-BBE9-E8B90ED1F662}"/>
            </a:ext>
          </a:extLst>
        </xdr:cNvPr>
        <xdr:cNvSpPr>
          <a:spLocks/>
        </xdr:cNvSpPr>
      </xdr:nvSpPr>
      <xdr:spPr>
        <a:xfrm rot="16200000" flipH="1">
          <a:off x="17573625" y="49634775"/>
          <a:ext cx="278130" cy="6629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57</xdr:col>
      <xdr:colOff>83820</xdr:colOff>
      <xdr:row>131</xdr:row>
      <xdr:rowOff>129540</xdr:rowOff>
    </xdr:from>
    <xdr:to>
      <xdr:col>60</xdr:col>
      <xdr:colOff>60960</xdr:colOff>
      <xdr:row>132</xdr:row>
      <xdr:rowOff>26670</xdr:rowOff>
    </xdr:to>
    <xdr:sp macro="" textlink="">
      <xdr:nvSpPr>
        <xdr:cNvPr id="235" name="矢印: 折線 234">
          <a:extLst>
            <a:ext uri="{FF2B5EF4-FFF2-40B4-BE49-F238E27FC236}">
              <a16:creationId xmlns:a16="http://schemas.microsoft.com/office/drawing/2014/main" id="{3E027089-10D9-49A7-80F9-DB78242038EE}"/>
            </a:ext>
          </a:extLst>
        </xdr:cNvPr>
        <xdr:cNvSpPr>
          <a:spLocks/>
        </xdr:cNvSpPr>
      </xdr:nvSpPr>
      <xdr:spPr>
        <a:xfrm rot="16200000" flipH="1">
          <a:off x="17562195" y="49310925"/>
          <a:ext cx="278130" cy="59436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41</xdr:col>
      <xdr:colOff>22860</xdr:colOff>
      <xdr:row>39</xdr:row>
      <xdr:rowOff>190500</xdr:rowOff>
    </xdr:from>
    <xdr:to>
      <xdr:col>63</xdr:col>
      <xdr:colOff>114300</xdr:colOff>
      <xdr:row>146</xdr:row>
      <xdr:rowOff>365760</xdr:rowOff>
    </xdr:to>
    <xdr:sp macro="" textlink="">
      <xdr:nvSpPr>
        <xdr:cNvPr id="236" name="矢印: 折線 235">
          <a:extLst>
            <a:ext uri="{FF2B5EF4-FFF2-40B4-BE49-F238E27FC236}">
              <a16:creationId xmlns:a16="http://schemas.microsoft.com/office/drawing/2014/main" id="{5D45CB22-33F8-4DF5-9225-A3F1F52744E7}"/>
            </a:ext>
          </a:extLst>
        </xdr:cNvPr>
        <xdr:cNvSpPr>
          <a:spLocks/>
        </xdr:cNvSpPr>
      </xdr:nvSpPr>
      <xdr:spPr>
        <a:xfrm rot="5400000">
          <a:off x="-4110990" y="32640270"/>
          <a:ext cx="40942260" cy="4617720"/>
        </a:xfrm>
        <a:prstGeom prst="bentArrow">
          <a:avLst>
            <a:gd name="adj1" fmla="val 1395"/>
            <a:gd name="adj2" fmla="val 2271"/>
            <a:gd name="adj3" fmla="val 1948"/>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62</xdr:col>
      <xdr:colOff>182880</xdr:colOff>
      <xdr:row>139</xdr:row>
      <xdr:rowOff>167640</xdr:rowOff>
    </xdr:from>
    <xdr:to>
      <xdr:col>66</xdr:col>
      <xdr:colOff>68580</xdr:colOff>
      <xdr:row>140</xdr:row>
      <xdr:rowOff>266700</xdr:rowOff>
    </xdr:to>
    <xdr:sp macro="" textlink="">
      <xdr:nvSpPr>
        <xdr:cNvPr id="237" name="矢印: 折線 236">
          <a:extLst>
            <a:ext uri="{FF2B5EF4-FFF2-40B4-BE49-F238E27FC236}">
              <a16:creationId xmlns:a16="http://schemas.microsoft.com/office/drawing/2014/main" id="{515252D4-715A-4542-8059-31364ABA6362}"/>
            </a:ext>
          </a:extLst>
        </xdr:cNvPr>
        <xdr:cNvSpPr>
          <a:spLocks/>
        </xdr:cNvSpPr>
      </xdr:nvSpPr>
      <xdr:spPr>
        <a:xfrm rot="10800000" flipH="1">
          <a:off x="18531840" y="52555140"/>
          <a:ext cx="708660" cy="480060"/>
        </a:xfrm>
        <a:prstGeom prst="bentArrow">
          <a:avLst>
            <a:gd name="adj1" fmla="val 3506"/>
            <a:gd name="adj2" fmla="val 9253"/>
            <a:gd name="adj3" fmla="val 12903"/>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63</xdr:col>
      <xdr:colOff>7620</xdr:colOff>
      <xdr:row>140</xdr:row>
      <xdr:rowOff>205740</xdr:rowOff>
    </xdr:from>
    <xdr:to>
      <xdr:col>66</xdr:col>
      <xdr:colOff>99060</xdr:colOff>
      <xdr:row>141</xdr:row>
      <xdr:rowOff>304800</xdr:rowOff>
    </xdr:to>
    <xdr:sp macro="" textlink="">
      <xdr:nvSpPr>
        <xdr:cNvPr id="238" name="矢印: 折線 237">
          <a:extLst>
            <a:ext uri="{FF2B5EF4-FFF2-40B4-BE49-F238E27FC236}">
              <a16:creationId xmlns:a16="http://schemas.microsoft.com/office/drawing/2014/main" id="{F08D8CC6-4E40-4EBF-ACF4-09B1D6802DEE}"/>
            </a:ext>
          </a:extLst>
        </xdr:cNvPr>
        <xdr:cNvSpPr>
          <a:spLocks/>
        </xdr:cNvSpPr>
      </xdr:nvSpPr>
      <xdr:spPr>
        <a:xfrm rot="10800000" flipH="1">
          <a:off x="18562320" y="52974240"/>
          <a:ext cx="708660" cy="480060"/>
        </a:xfrm>
        <a:prstGeom prst="bentArrow">
          <a:avLst>
            <a:gd name="adj1" fmla="val 3506"/>
            <a:gd name="adj2" fmla="val 9253"/>
            <a:gd name="adj3" fmla="val 12903"/>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63</xdr:col>
      <xdr:colOff>22860</xdr:colOff>
      <xdr:row>141</xdr:row>
      <xdr:rowOff>198120</xdr:rowOff>
    </xdr:from>
    <xdr:to>
      <xdr:col>66</xdr:col>
      <xdr:colOff>114300</xdr:colOff>
      <xdr:row>142</xdr:row>
      <xdr:rowOff>297180</xdr:rowOff>
    </xdr:to>
    <xdr:sp macro="" textlink="">
      <xdr:nvSpPr>
        <xdr:cNvPr id="239" name="矢印: 折線 238">
          <a:extLst>
            <a:ext uri="{FF2B5EF4-FFF2-40B4-BE49-F238E27FC236}">
              <a16:creationId xmlns:a16="http://schemas.microsoft.com/office/drawing/2014/main" id="{7A44DFD2-0718-4724-96F7-4183585C4C98}"/>
            </a:ext>
          </a:extLst>
        </xdr:cNvPr>
        <xdr:cNvSpPr>
          <a:spLocks/>
        </xdr:cNvSpPr>
      </xdr:nvSpPr>
      <xdr:spPr>
        <a:xfrm rot="10800000" flipH="1">
          <a:off x="18577560" y="53347620"/>
          <a:ext cx="708660" cy="480060"/>
        </a:xfrm>
        <a:prstGeom prst="bentArrow">
          <a:avLst>
            <a:gd name="adj1" fmla="val 3506"/>
            <a:gd name="adj2" fmla="val 9253"/>
            <a:gd name="adj3" fmla="val 12903"/>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62</xdr:col>
      <xdr:colOff>198120</xdr:colOff>
      <xdr:row>143</xdr:row>
      <xdr:rowOff>198120</xdr:rowOff>
    </xdr:from>
    <xdr:to>
      <xdr:col>67</xdr:col>
      <xdr:colOff>53340</xdr:colOff>
      <xdr:row>144</xdr:row>
      <xdr:rowOff>297180</xdr:rowOff>
    </xdr:to>
    <xdr:sp macro="" textlink="">
      <xdr:nvSpPr>
        <xdr:cNvPr id="240" name="矢印: 折線 239">
          <a:extLst>
            <a:ext uri="{FF2B5EF4-FFF2-40B4-BE49-F238E27FC236}">
              <a16:creationId xmlns:a16="http://schemas.microsoft.com/office/drawing/2014/main" id="{2360CD26-A80D-4FCB-9675-FE97EBE34D2B}"/>
            </a:ext>
          </a:extLst>
        </xdr:cNvPr>
        <xdr:cNvSpPr>
          <a:spLocks/>
        </xdr:cNvSpPr>
      </xdr:nvSpPr>
      <xdr:spPr>
        <a:xfrm rot="10800000" flipH="1">
          <a:off x="18547080" y="54109620"/>
          <a:ext cx="883920" cy="480060"/>
        </a:xfrm>
        <a:prstGeom prst="bentArrow">
          <a:avLst>
            <a:gd name="adj1" fmla="val 3506"/>
            <a:gd name="adj2" fmla="val 9253"/>
            <a:gd name="adj3" fmla="val 12903"/>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63</xdr:col>
      <xdr:colOff>15240</xdr:colOff>
      <xdr:row>144</xdr:row>
      <xdr:rowOff>198120</xdr:rowOff>
    </xdr:from>
    <xdr:to>
      <xdr:col>67</xdr:col>
      <xdr:colOff>91440</xdr:colOff>
      <xdr:row>145</xdr:row>
      <xdr:rowOff>297180</xdr:rowOff>
    </xdr:to>
    <xdr:sp macro="" textlink="">
      <xdr:nvSpPr>
        <xdr:cNvPr id="241" name="矢印: 折線 240">
          <a:extLst>
            <a:ext uri="{FF2B5EF4-FFF2-40B4-BE49-F238E27FC236}">
              <a16:creationId xmlns:a16="http://schemas.microsoft.com/office/drawing/2014/main" id="{DE2C4524-1A4F-4684-B4D6-5D959C3D249E}"/>
            </a:ext>
          </a:extLst>
        </xdr:cNvPr>
        <xdr:cNvSpPr>
          <a:spLocks/>
        </xdr:cNvSpPr>
      </xdr:nvSpPr>
      <xdr:spPr>
        <a:xfrm rot="10800000" flipH="1">
          <a:off x="18569940" y="54490620"/>
          <a:ext cx="899160" cy="480060"/>
        </a:xfrm>
        <a:prstGeom prst="bentArrow">
          <a:avLst>
            <a:gd name="adj1" fmla="val 3506"/>
            <a:gd name="adj2" fmla="val 9253"/>
            <a:gd name="adj3" fmla="val 12903"/>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63</xdr:col>
      <xdr:colOff>0</xdr:colOff>
      <xdr:row>145</xdr:row>
      <xdr:rowOff>121920</xdr:rowOff>
    </xdr:from>
    <xdr:to>
      <xdr:col>68</xdr:col>
      <xdr:colOff>53340</xdr:colOff>
      <xdr:row>146</xdr:row>
      <xdr:rowOff>220980</xdr:rowOff>
    </xdr:to>
    <xdr:sp macro="" textlink="">
      <xdr:nvSpPr>
        <xdr:cNvPr id="242" name="矢印: 折線 241">
          <a:extLst>
            <a:ext uri="{FF2B5EF4-FFF2-40B4-BE49-F238E27FC236}">
              <a16:creationId xmlns:a16="http://schemas.microsoft.com/office/drawing/2014/main" id="{97510FD8-E6EA-4C28-99A2-8E15636F4298}"/>
            </a:ext>
          </a:extLst>
        </xdr:cNvPr>
        <xdr:cNvSpPr>
          <a:spLocks/>
        </xdr:cNvSpPr>
      </xdr:nvSpPr>
      <xdr:spPr>
        <a:xfrm rot="10800000" flipH="1">
          <a:off x="18554700" y="54795420"/>
          <a:ext cx="1082040" cy="480060"/>
        </a:xfrm>
        <a:prstGeom prst="bentArrow">
          <a:avLst>
            <a:gd name="adj1" fmla="val 3506"/>
            <a:gd name="adj2" fmla="val 9253"/>
            <a:gd name="adj3" fmla="val 12903"/>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69</xdr:col>
      <xdr:colOff>45720</xdr:colOff>
      <xdr:row>149</xdr:row>
      <xdr:rowOff>175260</xdr:rowOff>
    </xdr:from>
    <xdr:to>
      <xdr:col>72</xdr:col>
      <xdr:colOff>45720</xdr:colOff>
      <xdr:row>153</xdr:row>
      <xdr:rowOff>297180</xdr:rowOff>
    </xdr:to>
    <xdr:sp macro="" textlink="">
      <xdr:nvSpPr>
        <xdr:cNvPr id="243" name="矢印: 折線 242">
          <a:extLst>
            <a:ext uri="{FF2B5EF4-FFF2-40B4-BE49-F238E27FC236}">
              <a16:creationId xmlns:a16="http://schemas.microsoft.com/office/drawing/2014/main" id="{239BED23-206D-4F5C-BBBD-69E07573A5AD}"/>
            </a:ext>
          </a:extLst>
        </xdr:cNvPr>
        <xdr:cNvSpPr>
          <a:spLocks/>
        </xdr:cNvSpPr>
      </xdr:nvSpPr>
      <xdr:spPr>
        <a:xfrm rot="10800000" flipH="1">
          <a:off x="19834860" y="56372760"/>
          <a:ext cx="617220" cy="1645920"/>
        </a:xfrm>
        <a:prstGeom prst="bentArrow">
          <a:avLst>
            <a:gd name="adj1" fmla="val 3506"/>
            <a:gd name="adj2" fmla="val 9253"/>
            <a:gd name="adj3" fmla="val 12903"/>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68</xdr:col>
      <xdr:colOff>182880</xdr:colOff>
      <xdr:row>149</xdr:row>
      <xdr:rowOff>121920</xdr:rowOff>
    </xdr:from>
    <xdr:to>
      <xdr:col>71</xdr:col>
      <xdr:colOff>160020</xdr:colOff>
      <xdr:row>150</xdr:row>
      <xdr:rowOff>19050</xdr:rowOff>
    </xdr:to>
    <xdr:sp macro="" textlink="">
      <xdr:nvSpPr>
        <xdr:cNvPr id="244" name="矢印: 折線 243">
          <a:extLst>
            <a:ext uri="{FF2B5EF4-FFF2-40B4-BE49-F238E27FC236}">
              <a16:creationId xmlns:a16="http://schemas.microsoft.com/office/drawing/2014/main" id="{AC192BE7-740F-436B-9992-93443B1CD3B1}"/>
            </a:ext>
          </a:extLst>
        </xdr:cNvPr>
        <xdr:cNvSpPr>
          <a:spLocks/>
        </xdr:cNvSpPr>
      </xdr:nvSpPr>
      <xdr:spPr>
        <a:xfrm rot="16200000" flipH="1">
          <a:off x="19924395" y="56161305"/>
          <a:ext cx="278130" cy="59436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68</xdr:col>
      <xdr:colOff>198120</xdr:colOff>
      <xdr:row>150</xdr:row>
      <xdr:rowOff>137160</xdr:rowOff>
    </xdr:from>
    <xdr:to>
      <xdr:col>71</xdr:col>
      <xdr:colOff>175260</xdr:colOff>
      <xdr:row>151</xdr:row>
      <xdr:rowOff>34290</xdr:rowOff>
    </xdr:to>
    <xdr:sp macro="" textlink="">
      <xdr:nvSpPr>
        <xdr:cNvPr id="245" name="矢印: 折線 244">
          <a:extLst>
            <a:ext uri="{FF2B5EF4-FFF2-40B4-BE49-F238E27FC236}">
              <a16:creationId xmlns:a16="http://schemas.microsoft.com/office/drawing/2014/main" id="{40D0C35E-ABCD-404E-9982-6502E90A31A1}"/>
            </a:ext>
          </a:extLst>
        </xdr:cNvPr>
        <xdr:cNvSpPr>
          <a:spLocks/>
        </xdr:cNvSpPr>
      </xdr:nvSpPr>
      <xdr:spPr>
        <a:xfrm rot="16200000" flipH="1">
          <a:off x="19939635" y="56557545"/>
          <a:ext cx="278130" cy="59436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68</xdr:col>
      <xdr:colOff>198120</xdr:colOff>
      <xdr:row>151</xdr:row>
      <xdr:rowOff>121920</xdr:rowOff>
    </xdr:from>
    <xdr:to>
      <xdr:col>72</xdr:col>
      <xdr:colOff>15240</xdr:colOff>
      <xdr:row>152</xdr:row>
      <xdr:rowOff>19050</xdr:rowOff>
    </xdr:to>
    <xdr:sp macro="" textlink="">
      <xdr:nvSpPr>
        <xdr:cNvPr id="246" name="矢印: 折線 245">
          <a:extLst>
            <a:ext uri="{FF2B5EF4-FFF2-40B4-BE49-F238E27FC236}">
              <a16:creationId xmlns:a16="http://schemas.microsoft.com/office/drawing/2014/main" id="{C1AF74A8-D4F2-41B8-9FD1-B6C9ADBA0393}"/>
            </a:ext>
          </a:extLst>
        </xdr:cNvPr>
        <xdr:cNvSpPr>
          <a:spLocks/>
        </xdr:cNvSpPr>
      </xdr:nvSpPr>
      <xdr:spPr>
        <a:xfrm rot="16200000" flipH="1">
          <a:off x="19962495" y="56900445"/>
          <a:ext cx="278130" cy="64008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68</xdr:col>
      <xdr:colOff>175260</xdr:colOff>
      <xdr:row>152</xdr:row>
      <xdr:rowOff>91440</xdr:rowOff>
    </xdr:from>
    <xdr:to>
      <xdr:col>72</xdr:col>
      <xdr:colOff>99060</xdr:colOff>
      <xdr:row>152</xdr:row>
      <xdr:rowOff>369570</xdr:rowOff>
    </xdr:to>
    <xdr:sp macro="" textlink="">
      <xdr:nvSpPr>
        <xdr:cNvPr id="247" name="矢印: 折線 246">
          <a:extLst>
            <a:ext uri="{FF2B5EF4-FFF2-40B4-BE49-F238E27FC236}">
              <a16:creationId xmlns:a16="http://schemas.microsoft.com/office/drawing/2014/main" id="{4B0359A4-03E0-438C-B5AA-A007F0879D23}"/>
            </a:ext>
          </a:extLst>
        </xdr:cNvPr>
        <xdr:cNvSpPr>
          <a:spLocks/>
        </xdr:cNvSpPr>
      </xdr:nvSpPr>
      <xdr:spPr>
        <a:xfrm rot="16200000" flipH="1">
          <a:off x="19992975" y="57197625"/>
          <a:ext cx="278130" cy="74676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71</xdr:col>
      <xdr:colOff>30480</xdr:colOff>
      <xdr:row>155</xdr:row>
      <xdr:rowOff>182880</xdr:rowOff>
    </xdr:from>
    <xdr:to>
      <xdr:col>74</xdr:col>
      <xdr:colOff>30480</xdr:colOff>
      <xdr:row>159</xdr:row>
      <xdr:rowOff>304800</xdr:rowOff>
    </xdr:to>
    <xdr:sp macro="" textlink="">
      <xdr:nvSpPr>
        <xdr:cNvPr id="248" name="矢印: 折線 247">
          <a:extLst>
            <a:ext uri="{FF2B5EF4-FFF2-40B4-BE49-F238E27FC236}">
              <a16:creationId xmlns:a16="http://schemas.microsoft.com/office/drawing/2014/main" id="{F4E6CAB5-5C4F-4071-A95E-076137FE8FD6}"/>
            </a:ext>
          </a:extLst>
        </xdr:cNvPr>
        <xdr:cNvSpPr>
          <a:spLocks/>
        </xdr:cNvSpPr>
      </xdr:nvSpPr>
      <xdr:spPr>
        <a:xfrm rot="10800000" flipH="1">
          <a:off x="20231100" y="58666380"/>
          <a:ext cx="617220" cy="1645920"/>
        </a:xfrm>
        <a:prstGeom prst="bentArrow">
          <a:avLst>
            <a:gd name="adj1" fmla="val 3506"/>
            <a:gd name="adj2" fmla="val 9253"/>
            <a:gd name="adj3" fmla="val 12903"/>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70</xdr:col>
      <xdr:colOff>167640</xdr:colOff>
      <xdr:row>155</xdr:row>
      <xdr:rowOff>129540</xdr:rowOff>
    </xdr:from>
    <xdr:to>
      <xdr:col>73</xdr:col>
      <xdr:colOff>144780</xdr:colOff>
      <xdr:row>156</xdr:row>
      <xdr:rowOff>26670</xdr:rowOff>
    </xdr:to>
    <xdr:sp macro="" textlink="">
      <xdr:nvSpPr>
        <xdr:cNvPr id="249" name="矢印: 折線 248">
          <a:extLst>
            <a:ext uri="{FF2B5EF4-FFF2-40B4-BE49-F238E27FC236}">
              <a16:creationId xmlns:a16="http://schemas.microsoft.com/office/drawing/2014/main" id="{F6F9BB02-CC71-496E-AF25-1DD783D826D8}"/>
            </a:ext>
          </a:extLst>
        </xdr:cNvPr>
        <xdr:cNvSpPr>
          <a:spLocks/>
        </xdr:cNvSpPr>
      </xdr:nvSpPr>
      <xdr:spPr>
        <a:xfrm rot="16200000" flipH="1">
          <a:off x="20320635" y="58454925"/>
          <a:ext cx="278130" cy="59436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70</xdr:col>
      <xdr:colOff>182880</xdr:colOff>
      <xdr:row>156</xdr:row>
      <xdr:rowOff>144780</xdr:rowOff>
    </xdr:from>
    <xdr:to>
      <xdr:col>73</xdr:col>
      <xdr:colOff>160020</xdr:colOff>
      <xdr:row>157</xdr:row>
      <xdr:rowOff>41910</xdr:rowOff>
    </xdr:to>
    <xdr:sp macro="" textlink="">
      <xdr:nvSpPr>
        <xdr:cNvPr id="250" name="矢印: 折線 249">
          <a:extLst>
            <a:ext uri="{FF2B5EF4-FFF2-40B4-BE49-F238E27FC236}">
              <a16:creationId xmlns:a16="http://schemas.microsoft.com/office/drawing/2014/main" id="{950492DA-6E43-4D7C-BC26-7A7B67132586}"/>
            </a:ext>
          </a:extLst>
        </xdr:cNvPr>
        <xdr:cNvSpPr>
          <a:spLocks/>
        </xdr:cNvSpPr>
      </xdr:nvSpPr>
      <xdr:spPr>
        <a:xfrm rot="16200000" flipH="1">
          <a:off x="20335875" y="58851165"/>
          <a:ext cx="278130" cy="59436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70</xdr:col>
      <xdr:colOff>182880</xdr:colOff>
      <xdr:row>157</xdr:row>
      <xdr:rowOff>129540</xdr:rowOff>
    </xdr:from>
    <xdr:to>
      <xdr:col>74</xdr:col>
      <xdr:colOff>0</xdr:colOff>
      <xdr:row>158</xdr:row>
      <xdr:rowOff>26670</xdr:rowOff>
    </xdr:to>
    <xdr:sp macro="" textlink="">
      <xdr:nvSpPr>
        <xdr:cNvPr id="251" name="矢印: 折線 250">
          <a:extLst>
            <a:ext uri="{FF2B5EF4-FFF2-40B4-BE49-F238E27FC236}">
              <a16:creationId xmlns:a16="http://schemas.microsoft.com/office/drawing/2014/main" id="{14D7E711-D0B5-4B7A-BAC5-6F6281F21E49}"/>
            </a:ext>
          </a:extLst>
        </xdr:cNvPr>
        <xdr:cNvSpPr>
          <a:spLocks/>
        </xdr:cNvSpPr>
      </xdr:nvSpPr>
      <xdr:spPr>
        <a:xfrm rot="16200000" flipH="1">
          <a:off x="20358735" y="59194065"/>
          <a:ext cx="278130" cy="64008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70</xdr:col>
      <xdr:colOff>160020</xdr:colOff>
      <xdr:row>158</xdr:row>
      <xdr:rowOff>99060</xdr:rowOff>
    </xdr:from>
    <xdr:to>
      <xdr:col>74</xdr:col>
      <xdr:colOff>83820</xdr:colOff>
      <xdr:row>158</xdr:row>
      <xdr:rowOff>377190</xdr:rowOff>
    </xdr:to>
    <xdr:sp macro="" textlink="">
      <xdr:nvSpPr>
        <xdr:cNvPr id="252" name="矢印: 折線 251">
          <a:extLst>
            <a:ext uri="{FF2B5EF4-FFF2-40B4-BE49-F238E27FC236}">
              <a16:creationId xmlns:a16="http://schemas.microsoft.com/office/drawing/2014/main" id="{9F9F5063-9037-4049-8040-071FC77B0F3E}"/>
            </a:ext>
          </a:extLst>
        </xdr:cNvPr>
        <xdr:cNvSpPr>
          <a:spLocks/>
        </xdr:cNvSpPr>
      </xdr:nvSpPr>
      <xdr:spPr>
        <a:xfrm rot="16200000" flipH="1">
          <a:off x="20389215" y="59491245"/>
          <a:ext cx="278130" cy="74676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73</xdr:col>
      <xdr:colOff>15240</xdr:colOff>
      <xdr:row>161</xdr:row>
      <xdr:rowOff>205740</xdr:rowOff>
    </xdr:from>
    <xdr:to>
      <xdr:col>79</xdr:col>
      <xdr:colOff>30480</xdr:colOff>
      <xdr:row>165</xdr:row>
      <xdr:rowOff>327660</xdr:rowOff>
    </xdr:to>
    <xdr:sp macro="" textlink="">
      <xdr:nvSpPr>
        <xdr:cNvPr id="253" name="矢印: 折線 252">
          <a:extLst>
            <a:ext uri="{FF2B5EF4-FFF2-40B4-BE49-F238E27FC236}">
              <a16:creationId xmlns:a16="http://schemas.microsoft.com/office/drawing/2014/main" id="{6B49CDE3-6CF3-4BB1-885A-F293944CCEBB}"/>
            </a:ext>
          </a:extLst>
        </xdr:cNvPr>
        <xdr:cNvSpPr>
          <a:spLocks/>
        </xdr:cNvSpPr>
      </xdr:nvSpPr>
      <xdr:spPr>
        <a:xfrm rot="10800000" flipH="1">
          <a:off x="20627340" y="60975240"/>
          <a:ext cx="1249680" cy="1645920"/>
        </a:xfrm>
        <a:prstGeom prst="bentArrow">
          <a:avLst>
            <a:gd name="adj1" fmla="val 3506"/>
            <a:gd name="adj2" fmla="val 5899"/>
            <a:gd name="adj3" fmla="val 8635"/>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72</xdr:col>
      <xdr:colOff>152400</xdr:colOff>
      <xdr:row>161</xdr:row>
      <xdr:rowOff>152400</xdr:rowOff>
    </xdr:from>
    <xdr:to>
      <xdr:col>75</xdr:col>
      <xdr:colOff>129540</xdr:colOff>
      <xdr:row>162</xdr:row>
      <xdr:rowOff>49530</xdr:rowOff>
    </xdr:to>
    <xdr:sp macro="" textlink="">
      <xdr:nvSpPr>
        <xdr:cNvPr id="254" name="矢印: 折線 253">
          <a:extLst>
            <a:ext uri="{FF2B5EF4-FFF2-40B4-BE49-F238E27FC236}">
              <a16:creationId xmlns:a16="http://schemas.microsoft.com/office/drawing/2014/main" id="{8A1D2C9E-D25C-4FF1-8782-B94790C80B69}"/>
            </a:ext>
          </a:extLst>
        </xdr:cNvPr>
        <xdr:cNvSpPr>
          <a:spLocks/>
        </xdr:cNvSpPr>
      </xdr:nvSpPr>
      <xdr:spPr>
        <a:xfrm rot="16200000" flipH="1">
          <a:off x="20716875" y="60763785"/>
          <a:ext cx="278130" cy="59436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72</xdr:col>
      <xdr:colOff>167640</xdr:colOff>
      <xdr:row>162</xdr:row>
      <xdr:rowOff>167640</xdr:rowOff>
    </xdr:from>
    <xdr:to>
      <xdr:col>75</xdr:col>
      <xdr:colOff>144780</xdr:colOff>
      <xdr:row>163</xdr:row>
      <xdr:rowOff>64770</xdr:rowOff>
    </xdr:to>
    <xdr:sp macro="" textlink="">
      <xdr:nvSpPr>
        <xdr:cNvPr id="255" name="矢印: 折線 254">
          <a:extLst>
            <a:ext uri="{FF2B5EF4-FFF2-40B4-BE49-F238E27FC236}">
              <a16:creationId xmlns:a16="http://schemas.microsoft.com/office/drawing/2014/main" id="{2C2E9532-1D93-4AF4-BEB4-B286A78C7BC7}"/>
            </a:ext>
          </a:extLst>
        </xdr:cNvPr>
        <xdr:cNvSpPr>
          <a:spLocks/>
        </xdr:cNvSpPr>
      </xdr:nvSpPr>
      <xdr:spPr>
        <a:xfrm rot="16200000" flipH="1">
          <a:off x="20732115" y="61160025"/>
          <a:ext cx="278130" cy="59436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72</xdr:col>
      <xdr:colOff>167640</xdr:colOff>
      <xdr:row>163</xdr:row>
      <xdr:rowOff>152400</xdr:rowOff>
    </xdr:from>
    <xdr:to>
      <xdr:col>78</xdr:col>
      <xdr:colOff>68580</xdr:colOff>
      <xdr:row>164</xdr:row>
      <xdr:rowOff>49530</xdr:rowOff>
    </xdr:to>
    <xdr:sp macro="" textlink="">
      <xdr:nvSpPr>
        <xdr:cNvPr id="256" name="矢印: 折線 255">
          <a:extLst>
            <a:ext uri="{FF2B5EF4-FFF2-40B4-BE49-F238E27FC236}">
              <a16:creationId xmlns:a16="http://schemas.microsoft.com/office/drawing/2014/main" id="{947423AA-8763-49B0-A748-8DCA4977F3D7}"/>
            </a:ext>
          </a:extLst>
        </xdr:cNvPr>
        <xdr:cNvSpPr>
          <a:spLocks/>
        </xdr:cNvSpPr>
      </xdr:nvSpPr>
      <xdr:spPr>
        <a:xfrm rot="16200000" flipH="1">
          <a:off x="21002625" y="61255275"/>
          <a:ext cx="278130" cy="113538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72</xdr:col>
      <xdr:colOff>144780</xdr:colOff>
      <xdr:row>164</xdr:row>
      <xdr:rowOff>121920</xdr:rowOff>
    </xdr:from>
    <xdr:to>
      <xdr:col>79</xdr:col>
      <xdr:colOff>53340</xdr:colOff>
      <xdr:row>165</xdr:row>
      <xdr:rowOff>19050</xdr:rowOff>
    </xdr:to>
    <xdr:sp macro="" textlink="">
      <xdr:nvSpPr>
        <xdr:cNvPr id="257" name="矢印: 折線 256">
          <a:extLst>
            <a:ext uri="{FF2B5EF4-FFF2-40B4-BE49-F238E27FC236}">
              <a16:creationId xmlns:a16="http://schemas.microsoft.com/office/drawing/2014/main" id="{85895355-5D37-44ED-B7EE-66E5BDC98F3C}"/>
            </a:ext>
          </a:extLst>
        </xdr:cNvPr>
        <xdr:cNvSpPr>
          <a:spLocks/>
        </xdr:cNvSpPr>
      </xdr:nvSpPr>
      <xdr:spPr>
        <a:xfrm rot="16200000" flipH="1">
          <a:off x="21086445" y="61499115"/>
          <a:ext cx="278130" cy="13487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78</xdr:col>
      <xdr:colOff>106680</xdr:colOff>
      <xdr:row>167</xdr:row>
      <xdr:rowOff>251460</xdr:rowOff>
    </xdr:from>
    <xdr:to>
      <xdr:col>85</xdr:col>
      <xdr:colOff>38100</xdr:colOff>
      <xdr:row>171</xdr:row>
      <xdr:rowOff>373380</xdr:rowOff>
    </xdr:to>
    <xdr:sp macro="" textlink="">
      <xdr:nvSpPr>
        <xdr:cNvPr id="258" name="矢印: 折線 257">
          <a:extLst>
            <a:ext uri="{FF2B5EF4-FFF2-40B4-BE49-F238E27FC236}">
              <a16:creationId xmlns:a16="http://schemas.microsoft.com/office/drawing/2014/main" id="{0933BC15-235D-411A-B32E-98788F472BE0}"/>
            </a:ext>
          </a:extLst>
        </xdr:cNvPr>
        <xdr:cNvSpPr>
          <a:spLocks/>
        </xdr:cNvSpPr>
      </xdr:nvSpPr>
      <xdr:spPr>
        <a:xfrm rot="10800000" flipH="1">
          <a:off x="21747480" y="63306960"/>
          <a:ext cx="1371600" cy="1645920"/>
        </a:xfrm>
        <a:prstGeom prst="bentArrow">
          <a:avLst>
            <a:gd name="adj1" fmla="val 3506"/>
            <a:gd name="adj2" fmla="val 6197"/>
            <a:gd name="adj3" fmla="val 7347"/>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78</xdr:col>
      <xdr:colOff>38100</xdr:colOff>
      <xdr:row>167</xdr:row>
      <xdr:rowOff>198120</xdr:rowOff>
    </xdr:from>
    <xdr:to>
      <xdr:col>81</xdr:col>
      <xdr:colOff>15240</xdr:colOff>
      <xdr:row>168</xdr:row>
      <xdr:rowOff>95250</xdr:rowOff>
    </xdr:to>
    <xdr:sp macro="" textlink="">
      <xdr:nvSpPr>
        <xdr:cNvPr id="259" name="矢印: 折線 258">
          <a:extLst>
            <a:ext uri="{FF2B5EF4-FFF2-40B4-BE49-F238E27FC236}">
              <a16:creationId xmlns:a16="http://schemas.microsoft.com/office/drawing/2014/main" id="{6C13D7C0-A45E-4401-9A24-331FA59D1FCE}"/>
            </a:ext>
          </a:extLst>
        </xdr:cNvPr>
        <xdr:cNvSpPr>
          <a:spLocks/>
        </xdr:cNvSpPr>
      </xdr:nvSpPr>
      <xdr:spPr>
        <a:xfrm rot="16200000" flipH="1">
          <a:off x="21837015" y="63095505"/>
          <a:ext cx="278130" cy="59436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78</xdr:col>
      <xdr:colOff>53340</xdr:colOff>
      <xdr:row>168</xdr:row>
      <xdr:rowOff>213360</xdr:rowOff>
    </xdr:from>
    <xdr:to>
      <xdr:col>81</xdr:col>
      <xdr:colOff>30480</xdr:colOff>
      <xdr:row>169</xdr:row>
      <xdr:rowOff>110490</xdr:rowOff>
    </xdr:to>
    <xdr:sp macro="" textlink="">
      <xdr:nvSpPr>
        <xdr:cNvPr id="260" name="矢印: 折線 259">
          <a:extLst>
            <a:ext uri="{FF2B5EF4-FFF2-40B4-BE49-F238E27FC236}">
              <a16:creationId xmlns:a16="http://schemas.microsoft.com/office/drawing/2014/main" id="{73153B43-A7F7-4A51-A87F-C4002C6E78FD}"/>
            </a:ext>
          </a:extLst>
        </xdr:cNvPr>
        <xdr:cNvSpPr>
          <a:spLocks/>
        </xdr:cNvSpPr>
      </xdr:nvSpPr>
      <xdr:spPr>
        <a:xfrm rot="16200000" flipH="1">
          <a:off x="21852255" y="63491745"/>
          <a:ext cx="278130" cy="59436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78</xdr:col>
      <xdr:colOff>53340</xdr:colOff>
      <xdr:row>169</xdr:row>
      <xdr:rowOff>198120</xdr:rowOff>
    </xdr:from>
    <xdr:to>
      <xdr:col>82</xdr:col>
      <xdr:colOff>45720</xdr:colOff>
      <xdr:row>170</xdr:row>
      <xdr:rowOff>95250</xdr:rowOff>
    </xdr:to>
    <xdr:sp macro="" textlink="">
      <xdr:nvSpPr>
        <xdr:cNvPr id="261" name="矢印: 折線 260">
          <a:extLst>
            <a:ext uri="{FF2B5EF4-FFF2-40B4-BE49-F238E27FC236}">
              <a16:creationId xmlns:a16="http://schemas.microsoft.com/office/drawing/2014/main" id="{A6C1575E-91E2-4502-B350-EEC8AB5CFDBB}"/>
            </a:ext>
          </a:extLst>
        </xdr:cNvPr>
        <xdr:cNvSpPr>
          <a:spLocks/>
        </xdr:cNvSpPr>
      </xdr:nvSpPr>
      <xdr:spPr>
        <a:xfrm rot="16200000" flipH="1">
          <a:off x="21962745" y="63747015"/>
          <a:ext cx="278130" cy="8153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78</xdr:col>
      <xdr:colOff>30480</xdr:colOff>
      <xdr:row>170</xdr:row>
      <xdr:rowOff>167640</xdr:rowOff>
    </xdr:from>
    <xdr:to>
      <xdr:col>85</xdr:col>
      <xdr:colOff>30480</xdr:colOff>
      <xdr:row>171</xdr:row>
      <xdr:rowOff>64770</xdr:rowOff>
    </xdr:to>
    <xdr:sp macro="" textlink="">
      <xdr:nvSpPr>
        <xdr:cNvPr id="262" name="矢印: 折線 261">
          <a:extLst>
            <a:ext uri="{FF2B5EF4-FFF2-40B4-BE49-F238E27FC236}">
              <a16:creationId xmlns:a16="http://schemas.microsoft.com/office/drawing/2014/main" id="{A99755AF-4B3C-4E5B-8FDF-21C96AEF61F9}"/>
            </a:ext>
          </a:extLst>
        </xdr:cNvPr>
        <xdr:cNvSpPr>
          <a:spLocks/>
        </xdr:cNvSpPr>
      </xdr:nvSpPr>
      <xdr:spPr>
        <a:xfrm rot="16200000" flipH="1">
          <a:off x="22252305" y="63785115"/>
          <a:ext cx="278130" cy="144018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84</xdr:col>
      <xdr:colOff>68580</xdr:colOff>
      <xdr:row>174</xdr:row>
      <xdr:rowOff>114300</xdr:rowOff>
    </xdr:from>
    <xdr:to>
      <xdr:col>87</xdr:col>
      <xdr:colOff>53340</xdr:colOff>
      <xdr:row>175</xdr:row>
      <xdr:rowOff>312420</xdr:rowOff>
    </xdr:to>
    <xdr:sp macro="" textlink="">
      <xdr:nvSpPr>
        <xdr:cNvPr id="263" name="矢印: 折線 262">
          <a:extLst>
            <a:ext uri="{FF2B5EF4-FFF2-40B4-BE49-F238E27FC236}">
              <a16:creationId xmlns:a16="http://schemas.microsoft.com/office/drawing/2014/main" id="{13F67017-B192-46A4-BD07-A3A36BF8B166}"/>
            </a:ext>
          </a:extLst>
        </xdr:cNvPr>
        <xdr:cNvSpPr>
          <a:spLocks/>
        </xdr:cNvSpPr>
      </xdr:nvSpPr>
      <xdr:spPr>
        <a:xfrm rot="10800000" flipH="1">
          <a:off x="22943820" y="65836800"/>
          <a:ext cx="601980" cy="579120"/>
        </a:xfrm>
        <a:prstGeom prst="bentArrow">
          <a:avLst>
            <a:gd name="adj1" fmla="val 3506"/>
            <a:gd name="adj2" fmla="val 6197"/>
            <a:gd name="adj3" fmla="val 7347"/>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84</xdr:col>
      <xdr:colOff>7620</xdr:colOff>
      <xdr:row>174</xdr:row>
      <xdr:rowOff>114300</xdr:rowOff>
    </xdr:from>
    <xdr:to>
      <xdr:col>86</xdr:col>
      <xdr:colOff>190500</xdr:colOff>
      <xdr:row>175</xdr:row>
      <xdr:rowOff>11430</xdr:rowOff>
    </xdr:to>
    <xdr:sp macro="" textlink="">
      <xdr:nvSpPr>
        <xdr:cNvPr id="264" name="矢印: 折線 263">
          <a:extLst>
            <a:ext uri="{FF2B5EF4-FFF2-40B4-BE49-F238E27FC236}">
              <a16:creationId xmlns:a16="http://schemas.microsoft.com/office/drawing/2014/main" id="{023AB7F0-27B3-43E5-9C45-EB4552A73FC9}"/>
            </a:ext>
          </a:extLst>
        </xdr:cNvPr>
        <xdr:cNvSpPr>
          <a:spLocks/>
        </xdr:cNvSpPr>
      </xdr:nvSpPr>
      <xdr:spPr>
        <a:xfrm rot="16200000" flipH="1">
          <a:off x="23040975" y="65678685"/>
          <a:ext cx="278130" cy="59436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86</xdr:col>
      <xdr:colOff>38100</xdr:colOff>
      <xdr:row>179</xdr:row>
      <xdr:rowOff>175260</xdr:rowOff>
    </xdr:from>
    <xdr:to>
      <xdr:col>88</xdr:col>
      <xdr:colOff>99060</xdr:colOff>
      <xdr:row>181</xdr:row>
      <xdr:rowOff>228600</xdr:rowOff>
    </xdr:to>
    <xdr:sp macro="" textlink="">
      <xdr:nvSpPr>
        <xdr:cNvPr id="265" name="矢印: 折線 264">
          <a:extLst>
            <a:ext uri="{FF2B5EF4-FFF2-40B4-BE49-F238E27FC236}">
              <a16:creationId xmlns:a16="http://schemas.microsoft.com/office/drawing/2014/main" id="{44D896A7-3EDE-4410-9110-5912714FCEA0}"/>
            </a:ext>
          </a:extLst>
        </xdr:cNvPr>
        <xdr:cNvSpPr>
          <a:spLocks/>
        </xdr:cNvSpPr>
      </xdr:nvSpPr>
      <xdr:spPr>
        <a:xfrm rot="10800000" flipH="1">
          <a:off x="23324820" y="67802760"/>
          <a:ext cx="472440" cy="815340"/>
        </a:xfrm>
        <a:prstGeom prst="bentArrow">
          <a:avLst>
            <a:gd name="adj1" fmla="val 3506"/>
            <a:gd name="adj2" fmla="val 6197"/>
            <a:gd name="adj3" fmla="val 7347"/>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85</xdr:col>
      <xdr:colOff>175260</xdr:colOff>
      <xdr:row>179</xdr:row>
      <xdr:rowOff>99060</xdr:rowOff>
    </xdr:from>
    <xdr:to>
      <xdr:col>88</xdr:col>
      <xdr:colOff>152400</xdr:colOff>
      <xdr:row>179</xdr:row>
      <xdr:rowOff>377190</xdr:rowOff>
    </xdr:to>
    <xdr:sp macro="" textlink="">
      <xdr:nvSpPr>
        <xdr:cNvPr id="266" name="矢印: 折線 265">
          <a:extLst>
            <a:ext uri="{FF2B5EF4-FFF2-40B4-BE49-F238E27FC236}">
              <a16:creationId xmlns:a16="http://schemas.microsoft.com/office/drawing/2014/main" id="{5443A478-D279-465F-8F7E-CE88C2FD8658}"/>
            </a:ext>
          </a:extLst>
        </xdr:cNvPr>
        <xdr:cNvSpPr>
          <a:spLocks/>
        </xdr:cNvSpPr>
      </xdr:nvSpPr>
      <xdr:spPr>
        <a:xfrm rot="16200000" flipH="1">
          <a:off x="23414355" y="67568445"/>
          <a:ext cx="278130" cy="59436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85</xdr:col>
      <xdr:colOff>182880</xdr:colOff>
      <xdr:row>180</xdr:row>
      <xdr:rowOff>114300</xdr:rowOff>
    </xdr:from>
    <xdr:to>
      <xdr:col>88</xdr:col>
      <xdr:colOff>160020</xdr:colOff>
      <xdr:row>181</xdr:row>
      <xdr:rowOff>11430</xdr:rowOff>
    </xdr:to>
    <xdr:sp macro="" textlink="">
      <xdr:nvSpPr>
        <xdr:cNvPr id="267" name="矢印: 折線 266">
          <a:extLst>
            <a:ext uri="{FF2B5EF4-FFF2-40B4-BE49-F238E27FC236}">
              <a16:creationId xmlns:a16="http://schemas.microsoft.com/office/drawing/2014/main" id="{7C29AD6B-8540-42EC-9FE7-AB01053FA428}"/>
            </a:ext>
          </a:extLst>
        </xdr:cNvPr>
        <xdr:cNvSpPr>
          <a:spLocks/>
        </xdr:cNvSpPr>
      </xdr:nvSpPr>
      <xdr:spPr>
        <a:xfrm rot="16200000" flipH="1">
          <a:off x="23421975" y="67964685"/>
          <a:ext cx="278130" cy="59436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87</xdr:col>
      <xdr:colOff>160020</xdr:colOff>
      <xdr:row>183</xdr:row>
      <xdr:rowOff>167640</xdr:rowOff>
    </xdr:from>
    <xdr:to>
      <xdr:col>89</xdr:col>
      <xdr:colOff>121920</xdr:colOff>
      <xdr:row>184</xdr:row>
      <xdr:rowOff>243840</xdr:rowOff>
    </xdr:to>
    <xdr:sp macro="" textlink="">
      <xdr:nvSpPr>
        <xdr:cNvPr id="268" name="矢印: 折線 267">
          <a:extLst>
            <a:ext uri="{FF2B5EF4-FFF2-40B4-BE49-F238E27FC236}">
              <a16:creationId xmlns:a16="http://schemas.microsoft.com/office/drawing/2014/main" id="{F824A25D-CC06-4AC1-BF58-07CB12776D26}"/>
            </a:ext>
          </a:extLst>
        </xdr:cNvPr>
        <xdr:cNvSpPr>
          <a:spLocks/>
        </xdr:cNvSpPr>
      </xdr:nvSpPr>
      <xdr:spPr>
        <a:xfrm rot="10800000" flipH="1">
          <a:off x="23652480" y="69319140"/>
          <a:ext cx="373380" cy="457200"/>
        </a:xfrm>
        <a:prstGeom prst="bentArrow">
          <a:avLst>
            <a:gd name="adj1" fmla="val 3506"/>
            <a:gd name="adj2" fmla="val 6197"/>
            <a:gd name="adj3" fmla="val 7347"/>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87</xdr:col>
      <xdr:colOff>106680</xdr:colOff>
      <xdr:row>183</xdr:row>
      <xdr:rowOff>114300</xdr:rowOff>
    </xdr:from>
    <xdr:to>
      <xdr:col>89</xdr:col>
      <xdr:colOff>91440</xdr:colOff>
      <xdr:row>184</xdr:row>
      <xdr:rowOff>11430</xdr:rowOff>
    </xdr:to>
    <xdr:sp macro="" textlink="">
      <xdr:nvSpPr>
        <xdr:cNvPr id="269" name="矢印: 折線 268">
          <a:extLst>
            <a:ext uri="{FF2B5EF4-FFF2-40B4-BE49-F238E27FC236}">
              <a16:creationId xmlns:a16="http://schemas.microsoft.com/office/drawing/2014/main" id="{12C1A90A-7F5A-46A4-9075-3A90C9EC2385}"/>
            </a:ext>
          </a:extLst>
        </xdr:cNvPr>
        <xdr:cNvSpPr>
          <a:spLocks/>
        </xdr:cNvSpPr>
      </xdr:nvSpPr>
      <xdr:spPr>
        <a:xfrm rot="16200000" flipH="1">
          <a:off x="23658195" y="69206745"/>
          <a:ext cx="278130" cy="3962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90</xdr:col>
      <xdr:colOff>49530</xdr:colOff>
      <xdr:row>187</xdr:row>
      <xdr:rowOff>179070</xdr:rowOff>
    </xdr:from>
    <xdr:to>
      <xdr:col>92</xdr:col>
      <xdr:colOff>95250</xdr:colOff>
      <xdr:row>190</xdr:row>
      <xdr:rowOff>342900</xdr:rowOff>
    </xdr:to>
    <xdr:sp macro="" textlink="">
      <xdr:nvSpPr>
        <xdr:cNvPr id="270" name="矢印: 折線 269">
          <a:extLst>
            <a:ext uri="{FF2B5EF4-FFF2-40B4-BE49-F238E27FC236}">
              <a16:creationId xmlns:a16="http://schemas.microsoft.com/office/drawing/2014/main" id="{48FE7BBC-52FA-4FA4-B862-0DE079F4468F}"/>
            </a:ext>
          </a:extLst>
        </xdr:cNvPr>
        <xdr:cNvSpPr>
          <a:spLocks/>
        </xdr:cNvSpPr>
      </xdr:nvSpPr>
      <xdr:spPr>
        <a:xfrm rot="16200000" flipH="1">
          <a:off x="23734395" y="71279385"/>
          <a:ext cx="1306830" cy="457200"/>
        </a:xfrm>
        <a:prstGeom prst="bentArrow">
          <a:avLst>
            <a:gd name="adj1" fmla="val 3506"/>
            <a:gd name="adj2" fmla="val 6197"/>
            <a:gd name="adj3" fmla="val 7347"/>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90</xdr:col>
      <xdr:colOff>60960</xdr:colOff>
      <xdr:row>187</xdr:row>
      <xdr:rowOff>299085</xdr:rowOff>
    </xdr:from>
    <xdr:to>
      <xdr:col>93</xdr:col>
      <xdr:colOff>76199</xdr:colOff>
      <xdr:row>188</xdr:row>
      <xdr:rowOff>314325</xdr:rowOff>
    </xdr:to>
    <xdr:sp macro="" textlink="">
      <xdr:nvSpPr>
        <xdr:cNvPr id="271" name="矢印: 折線 270">
          <a:extLst>
            <a:ext uri="{FF2B5EF4-FFF2-40B4-BE49-F238E27FC236}">
              <a16:creationId xmlns:a16="http://schemas.microsoft.com/office/drawing/2014/main" id="{7B78DD3A-3742-4273-82C1-AC89B1EF9491}"/>
            </a:ext>
          </a:extLst>
        </xdr:cNvPr>
        <xdr:cNvSpPr>
          <a:spLocks/>
        </xdr:cNvSpPr>
      </xdr:nvSpPr>
      <xdr:spPr>
        <a:xfrm rot="10800000" flipH="1">
          <a:off x="24170640" y="70974585"/>
          <a:ext cx="632459" cy="396240"/>
        </a:xfrm>
        <a:prstGeom prst="bentArrow">
          <a:avLst>
            <a:gd name="adj1" fmla="val 13134"/>
            <a:gd name="adj2" fmla="val 19231"/>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90</xdr:col>
      <xdr:colOff>53340</xdr:colOff>
      <xdr:row>188</xdr:row>
      <xdr:rowOff>306705</xdr:rowOff>
    </xdr:from>
    <xdr:to>
      <xdr:col>93</xdr:col>
      <xdr:colOff>68579</xdr:colOff>
      <xdr:row>189</xdr:row>
      <xdr:rowOff>321945</xdr:rowOff>
    </xdr:to>
    <xdr:sp macro="" textlink="">
      <xdr:nvSpPr>
        <xdr:cNvPr id="272" name="矢印: 折線 271">
          <a:extLst>
            <a:ext uri="{FF2B5EF4-FFF2-40B4-BE49-F238E27FC236}">
              <a16:creationId xmlns:a16="http://schemas.microsoft.com/office/drawing/2014/main" id="{CF03718F-6B42-4C0B-8561-09D085F95C6B}"/>
            </a:ext>
          </a:extLst>
        </xdr:cNvPr>
        <xdr:cNvSpPr>
          <a:spLocks/>
        </xdr:cNvSpPr>
      </xdr:nvSpPr>
      <xdr:spPr>
        <a:xfrm rot="10800000" flipH="1">
          <a:off x="24163020" y="71363205"/>
          <a:ext cx="632459" cy="396240"/>
        </a:xfrm>
        <a:prstGeom prst="bentArrow">
          <a:avLst>
            <a:gd name="adj1" fmla="val 13134"/>
            <a:gd name="adj2" fmla="val 19231"/>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90</xdr:col>
      <xdr:colOff>53340</xdr:colOff>
      <xdr:row>189</xdr:row>
      <xdr:rowOff>283845</xdr:rowOff>
    </xdr:from>
    <xdr:to>
      <xdr:col>93</xdr:col>
      <xdr:colOff>68579</xdr:colOff>
      <xdr:row>190</xdr:row>
      <xdr:rowOff>299085</xdr:rowOff>
    </xdr:to>
    <xdr:sp macro="" textlink="">
      <xdr:nvSpPr>
        <xdr:cNvPr id="273" name="矢印: 折線 272">
          <a:extLst>
            <a:ext uri="{FF2B5EF4-FFF2-40B4-BE49-F238E27FC236}">
              <a16:creationId xmlns:a16="http://schemas.microsoft.com/office/drawing/2014/main" id="{2AFB07B7-67BA-44C7-923E-CFB9CE7052E4}"/>
            </a:ext>
          </a:extLst>
        </xdr:cNvPr>
        <xdr:cNvSpPr>
          <a:spLocks/>
        </xdr:cNvSpPr>
      </xdr:nvSpPr>
      <xdr:spPr>
        <a:xfrm rot="10800000" flipH="1">
          <a:off x="24163020" y="71721345"/>
          <a:ext cx="632459" cy="396240"/>
        </a:xfrm>
        <a:prstGeom prst="bentArrow">
          <a:avLst>
            <a:gd name="adj1" fmla="val 13134"/>
            <a:gd name="adj2" fmla="val 19231"/>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92</xdr:col>
      <xdr:colOff>53340</xdr:colOff>
      <xdr:row>192</xdr:row>
      <xdr:rowOff>68580</xdr:rowOff>
    </xdr:from>
    <xdr:to>
      <xdr:col>95</xdr:col>
      <xdr:colOff>68579</xdr:colOff>
      <xdr:row>193</xdr:row>
      <xdr:rowOff>297180</xdr:rowOff>
    </xdr:to>
    <xdr:sp macro="" textlink="">
      <xdr:nvSpPr>
        <xdr:cNvPr id="274" name="矢印: 折線 273">
          <a:extLst>
            <a:ext uri="{FF2B5EF4-FFF2-40B4-BE49-F238E27FC236}">
              <a16:creationId xmlns:a16="http://schemas.microsoft.com/office/drawing/2014/main" id="{1DDFA0C8-0026-488B-B29B-B06E406CA13D}"/>
            </a:ext>
          </a:extLst>
        </xdr:cNvPr>
        <xdr:cNvSpPr>
          <a:spLocks/>
        </xdr:cNvSpPr>
      </xdr:nvSpPr>
      <xdr:spPr>
        <a:xfrm rot="10800000" flipH="1">
          <a:off x="24574500" y="72649080"/>
          <a:ext cx="632459" cy="609600"/>
        </a:xfrm>
        <a:prstGeom prst="bentArrow">
          <a:avLst>
            <a:gd name="adj1" fmla="val 13134"/>
            <a:gd name="adj2" fmla="val 9856"/>
            <a:gd name="adj3" fmla="val 2009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92</xdr:col>
      <xdr:colOff>45720</xdr:colOff>
      <xdr:row>192</xdr:row>
      <xdr:rowOff>91440</xdr:rowOff>
    </xdr:from>
    <xdr:to>
      <xdr:col>94</xdr:col>
      <xdr:colOff>30480</xdr:colOff>
      <xdr:row>192</xdr:row>
      <xdr:rowOff>369570</xdr:rowOff>
    </xdr:to>
    <xdr:sp macro="" textlink="">
      <xdr:nvSpPr>
        <xdr:cNvPr id="275" name="矢印: 折線 274">
          <a:extLst>
            <a:ext uri="{FF2B5EF4-FFF2-40B4-BE49-F238E27FC236}">
              <a16:creationId xmlns:a16="http://schemas.microsoft.com/office/drawing/2014/main" id="{4D80FFB5-2CF4-4ABA-A5CA-652A84612636}"/>
            </a:ext>
          </a:extLst>
        </xdr:cNvPr>
        <xdr:cNvSpPr>
          <a:spLocks/>
        </xdr:cNvSpPr>
      </xdr:nvSpPr>
      <xdr:spPr>
        <a:xfrm rot="16200000" flipH="1">
          <a:off x="24625935" y="72612885"/>
          <a:ext cx="278130" cy="3962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93</xdr:col>
      <xdr:colOff>137160</xdr:colOff>
      <xdr:row>196</xdr:row>
      <xdr:rowOff>160020</xdr:rowOff>
    </xdr:from>
    <xdr:to>
      <xdr:col>96</xdr:col>
      <xdr:colOff>152399</xdr:colOff>
      <xdr:row>198</xdr:row>
      <xdr:rowOff>228600</xdr:rowOff>
    </xdr:to>
    <xdr:sp macro="" textlink="">
      <xdr:nvSpPr>
        <xdr:cNvPr id="276" name="矢印: 折線 275">
          <a:extLst>
            <a:ext uri="{FF2B5EF4-FFF2-40B4-BE49-F238E27FC236}">
              <a16:creationId xmlns:a16="http://schemas.microsoft.com/office/drawing/2014/main" id="{50D582CB-6E6B-4A5E-A572-00E34BFA2748}"/>
            </a:ext>
          </a:extLst>
        </xdr:cNvPr>
        <xdr:cNvSpPr>
          <a:spLocks/>
        </xdr:cNvSpPr>
      </xdr:nvSpPr>
      <xdr:spPr>
        <a:xfrm rot="10800000" flipH="1">
          <a:off x="24864060" y="74264520"/>
          <a:ext cx="632459" cy="830580"/>
        </a:xfrm>
        <a:prstGeom prst="bentArrow">
          <a:avLst>
            <a:gd name="adj1" fmla="val 5634"/>
            <a:gd name="adj2" fmla="val 9856"/>
            <a:gd name="adj3" fmla="val 2009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93</xdr:col>
      <xdr:colOff>91440</xdr:colOff>
      <xdr:row>196</xdr:row>
      <xdr:rowOff>121920</xdr:rowOff>
    </xdr:from>
    <xdr:to>
      <xdr:col>95</xdr:col>
      <xdr:colOff>76200</xdr:colOff>
      <xdr:row>197</xdr:row>
      <xdr:rowOff>19050</xdr:rowOff>
    </xdr:to>
    <xdr:sp macro="" textlink="">
      <xdr:nvSpPr>
        <xdr:cNvPr id="277" name="矢印: 折線 276">
          <a:extLst>
            <a:ext uri="{FF2B5EF4-FFF2-40B4-BE49-F238E27FC236}">
              <a16:creationId xmlns:a16="http://schemas.microsoft.com/office/drawing/2014/main" id="{39ABDDEB-F15A-40F5-A379-D9FB0CA39C8B}"/>
            </a:ext>
          </a:extLst>
        </xdr:cNvPr>
        <xdr:cNvSpPr>
          <a:spLocks/>
        </xdr:cNvSpPr>
      </xdr:nvSpPr>
      <xdr:spPr>
        <a:xfrm rot="16200000" flipH="1">
          <a:off x="24877395" y="74167365"/>
          <a:ext cx="278130" cy="39624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93</xdr:col>
      <xdr:colOff>76200</xdr:colOff>
      <xdr:row>197</xdr:row>
      <xdr:rowOff>160020</xdr:rowOff>
    </xdr:from>
    <xdr:to>
      <xdr:col>96</xdr:col>
      <xdr:colOff>38100</xdr:colOff>
      <xdr:row>198</xdr:row>
      <xdr:rowOff>57150</xdr:rowOff>
    </xdr:to>
    <xdr:sp macro="" textlink="">
      <xdr:nvSpPr>
        <xdr:cNvPr id="278" name="矢印: 折線 277">
          <a:extLst>
            <a:ext uri="{FF2B5EF4-FFF2-40B4-BE49-F238E27FC236}">
              <a16:creationId xmlns:a16="http://schemas.microsoft.com/office/drawing/2014/main" id="{E44AC663-529B-47E6-8CBA-6B279341EA33}"/>
            </a:ext>
          </a:extLst>
        </xdr:cNvPr>
        <xdr:cNvSpPr>
          <a:spLocks/>
        </xdr:cNvSpPr>
      </xdr:nvSpPr>
      <xdr:spPr>
        <a:xfrm rot="16200000" flipH="1">
          <a:off x="24953595" y="74495025"/>
          <a:ext cx="278130" cy="57912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97</xdr:col>
      <xdr:colOff>137160</xdr:colOff>
      <xdr:row>200</xdr:row>
      <xdr:rowOff>99060</xdr:rowOff>
    </xdr:from>
    <xdr:to>
      <xdr:col>99</xdr:col>
      <xdr:colOff>68579</xdr:colOff>
      <xdr:row>201</xdr:row>
      <xdr:rowOff>289560</xdr:rowOff>
    </xdr:to>
    <xdr:sp macro="" textlink="">
      <xdr:nvSpPr>
        <xdr:cNvPr id="279" name="矢印: 折線 278">
          <a:extLst>
            <a:ext uri="{FF2B5EF4-FFF2-40B4-BE49-F238E27FC236}">
              <a16:creationId xmlns:a16="http://schemas.microsoft.com/office/drawing/2014/main" id="{506CA72E-13B6-4E3A-B74A-185170DE80E9}"/>
            </a:ext>
          </a:extLst>
        </xdr:cNvPr>
        <xdr:cNvSpPr>
          <a:spLocks/>
        </xdr:cNvSpPr>
      </xdr:nvSpPr>
      <xdr:spPr>
        <a:xfrm rot="10800000" flipH="1">
          <a:off x="25687020" y="75727560"/>
          <a:ext cx="342899" cy="571500"/>
        </a:xfrm>
        <a:prstGeom prst="bentArrow">
          <a:avLst>
            <a:gd name="adj1" fmla="val 5634"/>
            <a:gd name="adj2" fmla="val 9856"/>
            <a:gd name="adj3" fmla="val 2009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97</xdr:col>
      <xdr:colOff>76200</xdr:colOff>
      <xdr:row>200</xdr:row>
      <xdr:rowOff>106680</xdr:rowOff>
    </xdr:from>
    <xdr:to>
      <xdr:col>99</xdr:col>
      <xdr:colOff>83820</xdr:colOff>
      <xdr:row>201</xdr:row>
      <xdr:rowOff>57150</xdr:rowOff>
    </xdr:to>
    <xdr:sp macro="" textlink="">
      <xdr:nvSpPr>
        <xdr:cNvPr id="280" name="矢印: 折線 279">
          <a:extLst>
            <a:ext uri="{FF2B5EF4-FFF2-40B4-BE49-F238E27FC236}">
              <a16:creationId xmlns:a16="http://schemas.microsoft.com/office/drawing/2014/main" id="{A9BC69F0-E6E6-4053-9CBD-C90898EA0CD1}"/>
            </a:ext>
          </a:extLst>
        </xdr:cNvPr>
        <xdr:cNvSpPr>
          <a:spLocks/>
        </xdr:cNvSpPr>
      </xdr:nvSpPr>
      <xdr:spPr>
        <a:xfrm rot="16200000" flipH="1">
          <a:off x="25669875" y="75691365"/>
          <a:ext cx="331470" cy="41910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97</xdr:col>
      <xdr:colOff>198120</xdr:colOff>
      <xdr:row>204</xdr:row>
      <xdr:rowOff>198120</xdr:rowOff>
    </xdr:from>
    <xdr:to>
      <xdr:col>99</xdr:col>
      <xdr:colOff>129539</xdr:colOff>
      <xdr:row>206</xdr:row>
      <xdr:rowOff>228600</xdr:rowOff>
    </xdr:to>
    <xdr:sp macro="" textlink="">
      <xdr:nvSpPr>
        <xdr:cNvPr id="281" name="矢印: 折線 280">
          <a:extLst>
            <a:ext uri="{FF2B5EF4-FFF2-40B4-BE49-F238E27FC236}">
              <a16:creationId xmlns:a16="http://schemas.microsoft.com/office/drawing/2014/main" id="{5286C20A-D202-45EF-A38F-25837DF6ED60}"/>
            </a:ext>
          </a:extLst>
        </xdr:cNvPr>
        <xdr:cNvSpPr>
          <a:spLocks/>
        </xdr:cNvSpPr>
      </xdr:nvSpPr>
      <xdr:spPr>
        <a:xfrm rot="10800000" flipH="1">
          <a:off x="25747980" y="77350620"/>
          <a:ext cx="342899" cy="792480"/>
        </a:xfrm>
        <a:prstGeom prst="bentArrow">
          <a:avLst>
            <a:gd name="adj1" fmla="val 5634"/>
            <a:gd name="adj2" fmla="val 9856"/>
            <a:gd name="adj3" fmla="val 2009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97</xdr:col>
      <xdr:colOff>137160</xdr:colOff>
      <xdr:row>204</xdr:row>
      <xdr:rowOff>144780</xdr:rowOff>
    </xdr:from>
    <xdr:to>
      <xdr:col>99</xdr:col>
      <xdr:colOff>144780</xdr:colOff>
      <xdr:row>205</xdr:row>
      <xdr:rowOff>95250</xdr:rowOff>
    </xdr:to>
    <xdr:sp macro="" textlink="">
      <xdr:nvSpPr>
        <xdr:cNvPr id="282" name="矢印: 折線 281">
          <a:extLst>
            <a:ext uri="{FF2B5EF4-FFF2-40B4-BE49-F238E27FC236}">
              <a16:creationId xmlns:a16="http://schemas.microsoft.com/office/drawing/2014/main" id="{701BA8C8-5DE4-4A27-8EA9-4E86C66DFAC2}"/>
            </a:ext>
          </a:extLst>
        </xdr:cNvPr>
        <xdr:cNvSpPr>
          <a:spLocks/>
        </xdr:cNvSpPr>
      </xdr:nvSpPr>
      <xdr:spPr>
        <a:xfrm rot="16200000" flipH="1">
          <a:off x="25730835" y="77253465"/>
          <a:ext cx="331470" cy="41910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97</xdr:col>
      <xdr:colOff>129540</xdr:colOff>
      <xdr:row>205</xdr:row>
      <xdr:rowOff>129540</xdr:rowOff>
    </xdr:from>
    <xdr:to>
      <xdr:col>99</xdr:col>
      <xdr:colOff>137160</xdr:colOff>
      <xdr:row>206</xdr:row>
      <xdr:rowOff>80010</xdr:rowOff>
    </xdr:to>
    <xdr:sp macro="" textlink="">
      <xdr:nvSpPr>
        <xdr:cNvPr id="283" name="矢印: 折線 282">
          <a:extLst>
            <a:ext uri="{FF2B5EF4-FFF2-40B4-BE49-F238E27FC236}">
              <a16:creationId xmlns:a16="http://schemas.microsoft.com/office/drawing/2014/main" id="{92AC6579-9476-41F4-A3AE-1AC78593E246}"/>
            </a:ext>
          </a:extLst>
        </xdr:cNvPr>
        <xdr:cNvSpPr>
          <a:spLocks/>
        </xdr:cNvSpPr>
      </xdr:nvSpPr>
      <xdr:spPr>
        <a:xfrm rot="16200000" flipH="1">
          <a:off x="25723215" y="77619225"/>
          <a:ext cx="331470" cy="41910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98</xdr:col>
      <xdr:colOff>190500</xdr:colOff>
      <xdr:row>208</xdr:row>
      <xdr:rowOff>144780</xdr:rowOff>
    </xdr:from>
    <xdr:to>
      <xdr:col>100</xdr:col>
      <xdr:colOff>99059</xdr:colOff>
      <xdr:row>209</xdr:row>
      <xdr:rowOff>251460</xdr:rowOff>
    </xdr:to>
    <xdr:sp macro="" textlink="">
      <xdr:nvSpPr>
        <xdr:cNvPr id="284" name="矢印: 折線 283">
          <a:extLst>
            <a:ext uri="{FF2B5EF4-FFF2-40B4-BE49-F238E27FC236}">
              <a16:creationId xmlns:a16="http://schemas.microsoft.com/office/drawing/2014/main" id="{8E4E4D4C-78C5-45E8-84B2-3A91654527FD}"/>
            </a:ext>
          </a:extLst>
        </xdr:cNvPr>
        <xdr:cNvSpPr>
          <a:spLocks/>
        </xdr:cNvSpPr>
      </xdr:nvSpPr>
      <xdr:spPr>
        <a:xfrm rot="10800000" flipH="1">
          <a:off x="25946100" y="78821280"/>
          <a:ext cx="320039" cy="487680"/>
        </a:xfrm>
        <a:prstGeom prst="bentArrow">
          <a:avLst>
            <a:gd name="adj1" fmla="val 5634"/>
            <a:gd name="adj2" fmla="val 9856"/>
            <a:gd name="adj3" fmla="val 2009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98</xdr:col>
      <xdr:colOff>129540</xdr:colOff>
      <xdr:row>208</xdr:row>
      <xdr:rowOff>144780</xdr:rowOff>
    </xdr:from>
    <xdr:to>
      <xdr:col>100</xdr:col>
      <xdr:colOff>137160</xdr:colOff>
      <xdr:row>209</xdr:row>
      <xdr:rowOff>95250</xdr:rowOff>
    </xdr:to>
    <xdr:sp macro="" textlink="">
      <xdr:nvSpPr>
        <xdr:cNvPr id="285" name="矢印: 折線 284">
          <a:extLst>
            <a:ext uri="{FF2B5EF4-FFF2-40B4-BE49-F238E27FC236}">
              <a16:creationId xmlns:a16="http://schemas.microsoft.com/office/drawing/2014/main" id="{DEF64DFF-42C6-492D-B62B-C4EAA821475D}"/>
            </a:ext>
          </a:extLst>
        </xdr:cNvPr>
        <xdr:cNvSpPr>
          <a:spLocks/>
        </xdr:cNvSpPr>
      </xdr:nvSpPr>
      <xdr:spPr>
        <a:xfrm rot="16200000" flipH="1">
          <a:off x="25928955" y="78777465"/>
          <a:ext cx="331470" cy="41910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98</xdr:col>
      <xdr:colOff>175260</xdr:colOff>
      <xdr:row>212</xdr:row>
      <xdr:rowOff>137160</xdr:rowOff>
    </xdr:from>
    <xdr:to>
      <xdr:col>100</xdr:col>
      <xdr:colOff>83819</xdr:colOff>
      <xdr:row>213</xdr:row>
      <xdr:rowOff>243840</xdr:rowOff>
    </xdr:to>
    <xdr:sp macro="" textlink="">
      <xdr:nvSpPr>
        <xdr:cNvPr id="286" name="矢印: 折線 285">
          <a:extLst>
            <a:ext uri="{FF2B5EF4-FFF2-40B4-BE49-F238E27FC236}">
              <a16:creationId xmlns:a16="http://schemas.microsoft.com/office/drawing/2014/main" id="{17492CA2-0CA2-48D3-928D-01EF4F6CBEE4}"/>
            </a:ext>
          </a:extLst>
        </xdr:cNvPr>
        <xdr:cNvSpPr>
          <a:spLocks/>
        </xdr:cNvSpPr>
      </xdr:nvSpPr>
      <xdr:spPr>
        <a:xfrm rot="10800000" flipH="1">
          <a:off x="25930860" y="80337660"/>
          <a:ext cx="320039" cy="487680"/>
        </a:xfrm>
        <a:prstGeom prst="bentArrow">
          <a:avLst>
            <a:gd name="adj1" fmla="val 5634"/>
            <a:gd name="adj2" fmla="val 9856"/>
            <a:gd name="adj3" fmla="val 2009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98</xdr:col>
      <xdr:colOff>114300</xdr:colOff>
      <xdr:row>212</xdr:row>
      <xdr:rowOff>137160</xdr:rowOff>
    </xdr:from>
    <xdr:to>
      <xdr:col>100</xdr:col>
      <xdr:colOff>121920</xdr:colOff>
      <xdr:row>213</xdr:row>
      <xdr:rowOff>87630</xdr:rowOff>
    </xdr:to>
    <xdr:sp macro="" textlink="">
      <xdr:nvSpPr>
        <xdr:cNvPr id="287" name="矢印: 折線 286">
          <a:extLst>
            <a:ext uri="{FF2B5EF4-FFF2-40B4-BE49-F238E27FC236}">
              <a16:creationId xmlns:a16="http://schemas.microsoft.com/office/drawing/2014/main" id="{ED1599D5-7CD2-468C-A706-05BDC2BC2A76}"/>
            </a:ext>
          </a:extLst>
        </xdr:cNvPr>
        <xdr:cNvSpPr>
          <a:spLocks/>
        </xdr:cNvSpPr>
      </xdr:nvSpPr>
      <xdr:spPr>
        <a:xfrm rot="16200000" flipH="1">
          <a:off x="25913715" y="80293845"/>
          <a:ext cx="331470" cy="41910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98</xdr:col>
      <xdr:colOff>190500</xdr:colOff>
      <xdr:row>215</xdr:row>
      <xdr:rowOff>182880</xdr:rowOff>
    </xdr:from>
    <xdr:to>
      <xdr:col>100</xdr:col>
      <xdr:colOff>99059</xdr:colOff>
      <xdr:row>216</xdr:row>
      <xdr:rowOff>289560</xdr:rowOff>
    </xdr:to>
    <xdr:sp macro="" textlink="">
      <xdr:nvSpPr>
        <xdr:cNvPr id="288" name="矢印: 折線 287">
          <a:extLst>
            <a:ext uri="{FF2B5EF4-FFF2-40B4-BE49-F238E27FC236}">
              <a16:creationId xmlns:a16="http://schemas.microsoft.com/office/drawing/2014/main" id="{5E845BBB-F84F-4E70-9004-6E109B707FC9}"/>
            </a:ext>
          </a:extLst>
        </xdr:cNvPr>
        <xdr:cNvSpPr>
          <a:spLocks/>
        </xdr:cNvSpPr>
      </xdr:nvSpPr>
      <xdr:spPr>
        <a:xfrm rot="10800000" flipH="1">
          <a:off x="25946100" y="81526380"/>
          <a:ext cx="320039" cy="487680"/>
        </a:xfrm>
        <a:prstGeom prst="bentArrow">
          <a:avLst>
            <a:gd name="adj1" fmla="val 5634"/>
            <a:gd name="adj2" fmla="val 9856"/>
            <a:gd name="adj3" fmla="val 2009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98</xdr:col>
      <xdr:colOff>129540</xdr:colOff>
      <xdr:row>215</xdr:row>
      <xdr:rowOff>182880</xdr:rowOff>
    </xdr:from>
    <xdr:to>
      <xdr:col>100</xdr:col>
      <xdr:colOff>137160</xdr:colOff>
      <xdr:row>216</xdr:row>
      <xdr:rowOff>133350</xdr:rowOff>
    </xdr:to>
    <xdr:sp macro="" textlink="">
      <xdr:nvSpPr>
        <xdr:cNvPr id="289" name="矢印: 折線 288">
          <a:extLst>
            <a:ext uri="{FF2B5EF4-FFF2-40B4-BE49-F238E27FC236}">
              <a16:creationId xmlns:a16="http://schemas.microsoft.com/office/drawing/2014/main" id="{C26C9C8E-563B-4A90-AE18-284E4A139CF6}"/>
            </a:ext>
          </a:extLst>
        </xdr:cNvPr>
        <xdr:cNvSpPr>
          <a:spLocks/>
        </xdr:cNvSpPr>
      </xdr:nvSpPr>
      <xdr:spPr>
        <a:xfrm rot="16200000" flipH="1">
          <a:off x="25928955" y="81482565"/>
          <a:ext cx="331470" cy="41910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99</xdr:col>
      <xdr:colOff>15240</xdr:colOff>
      <xdr:row>218</xdr:row>
      <xdr:rowOff>175260</xdr:rowOff>
    </xdr:from>
    <xdr:to>
      <xdr:col>100</xdr:col>
      <xdr:colOff>129539</xdr:colOff>
      <xdr:row>219</xdr:row>
      <xdr:rowOff>281940</xdr:rowOff>
    </xdr:to>
    <xdr:sp macro="" textlink="">
      <xdr:nvSpPr>
        <xdr:cNvPr id="290" name="矢印: 折線 289">
          <a:extLst>
            <a:ext uri="{FF2B5EF4-FFF2-40B4-BE49-F238E27FC236}">
              <a16:creationId xmlns:a16="http://schemas.microsoft.com/office/drawing/2014/main" id="{2730B860-7A2E-419A-9394-0048D1073996}"/>
            </a:ext>
          </a:extLst>
        </xdr:cNvPr>
        <xdr:cNvSpPr>
          <a:spLocks/>
        </xdr:cNvSpPr>
      </xdr:nvSpPr>
      <xdr:spPr>
        <a:xfrm rot="10800000" flipH="1">
          <a:off x="25976580" y="82661760"/>
          <a:ext cx="320039" cy="487680"/>
        </a:xfrm>
        <a:prstGeom prst="bentArrow">
          <a:avLst>
            <a:gd name="adj1" fmla="val 5634"/>
            <a:gd name="adj2" fmla="val 9856"/>
            <a:gd name="adj3" fmla="val 2009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98</xdr:col>
      <xdr:colOff>160020</xdr:colOff>
      <xdr:row>218</xdr:row>
      <xdr:rowOff>175260</xdr:rowOff>
    </xdr:from>
    <xdr:to>
      <xdr:col>100</xdr:col>
      <xdr:colOff>167640</xdr:colOff>
      <xdr:row>219</xdr:row>
      <xdr:rowOff>125730</xdr:rowOff>
    </xdr:to>
    <xdr:sp macro="" textlink="">
      <xdr:nvSpPr>
        <xdr:cNvPr id="291" name="矢印: 折線 290">
          <a:extLst>
            <a:ext uri="{FF2B5EF4-FFF2-40B4-BE49-F238E27FC236}">
              <a16:creationId xmlns:a16="http://schemas.microsoft.com/office/drawing/2014/main" id="{B0686D2D-C71B-42AF-913C-94EEDD4436BD}"/>
            </a:ext>
          </a:extLst>
        </xdr:cNvPr>
        <xdr:cNvSpPr>
          <a:spLocks/>
        </xdr:cNvSpPr>
      </xdr:nvSpPr>
      <xdr:spPr>
        <a:xfrm rot="16200000" flipH="1">
          <a:off x="25959435" y="82617945"/>
          <a:ext cx="331470" cy="41910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99</xdr:col>
      <xdr:colOff>0</xdr:colOff>
      <xdr:row>221</xdr:row>
      <xdr:rowOff>175260</xdr:rowOff>
    </xdr:from>
    <xdr:to>
      <xdr:col>100</xdr:col>
      <xdr:colOff>114299</xdr:colOff>
      <xdr:row>222</xdr:row>
      <xdr:rowOff>281940</xdr:rowOff>
    </xdr:to>
    <xdr:sp macro="" textlink="">
      <xdr:nvSpPr>
        <xdr:cNvPr id="292" name="矢印: 折線 291">
          <a:extLst>
            <a:ext uri="{FF2B5EF4-FFF2-40B4-BE49-F238E27FC236}">
              <a16:creationId xmlns:a16="http://schemas.microsoft.com/office/drawing/2014/main" id="{B43CF180-FF1D-434A-95CA-2AD37D16C541}"/>
            </a:ext>
          </a:extLst>
        </xdr:cNvPr>
        <xdr:cNvSpPr>
          <a:spLocks/>
        </xdr:cNvSpPr>
      </xdr:nvSpPr>
      <xdr:spPr>
        <a:xfrm rot="10800000" flipH="1">
          <a:off x="25961340" y="83804760"/>
          <a:ext cx="320039" cy="487680"/>
        </a:xfrm>
        <a:prstGeom prst="bentArrow">
          <a:avLst>
            <a:gd name="adj1" fmla="val 5634"/>
            <a:gd name="adj2" fmla="val 9856"/>
            <a:gd name="adj3" fmla="val 2009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98</xdr:col>
      <xdr:colOff>144780</xdr:colOff>
      <xdr:row>221</xdr:row>
      <xdr:rowOff>175260</xdr:rowOff>
    </xdr:from>
    <xdr:to>
      <xdr:col>100</xdr:col>
      <xdr:colOff>152400</xdr:colOff>
      <xdr:row>222</xdr:row>
      <xdr:rowOff>125730</xdr:rowOff>
    </xdr:to>
    <xdr:sp macro="" textlink="">
      <xdr:nvSpPr>
        <xdr:cNvPr id="293" name="矢印: 折線 292">
          <a:extLst>
            <a:ext uri="{FF2B5EF4-FFF2-40B4-BE49-F238E27FC236}">
              <a16:creationId xmlns:a16="http://schemas.microsoft.com/office/drawing/2014/main" id="{C2A0259B-673D-42F5-BC98-ECE257BD6F74}"/>
            </a:ext>
          </a:extLst>
        </xdr:cNvPr>
        <xdr:cNvSpPr>
          <a:spLocks/>
        </xdr:cNvSpPr>
      </xdr:nvSpPr>
      <xdr:spPr>
        <a:xfrm rot="16200000" flipH="1">
          <a:off x="25944195" y="83760945"/>
          <a:ext cx="331470" cy="41910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99</xdr:col>
      <xdr:colOff>152400</xdr:colOff>
      <xdr:row>224</xdr:row>
      <xdr:rowOff>137160</xdr:rowOff>
    </xdr:from>
    <xdr:to>
      <xdr:col>101</xdr:col>
      <xdr:colOff>60959</xdr:colOff>
      <xdr:row>225</xdr:row>
      <xdr:rowOff>243840</xdr:rowOff>
    </xdr:to>
    <xdr:sp macro="" textlink="">
      <xdr:nvSpPr>
        <xdr:cNvPr id="294" name="矢印: 折線 293">
          <a:extLst>
            <a:ext uri="{FF2B5EF4-FFF2-40B4-BE49-F238E27FC236}">
              <a16:creationId xmlns:a16="http://schemas.microsoft.com/office/drawing/2014/main" id="{C428C615-263B-46FD-8891-EDC51F9E7B98}"/>
            </a:ext>
          </a:extLst>
        </xdr:cNvPr>
        <xdr:cNvSpPr>
          <a:spLocks/>
        </xdr:cNvSpPr>
      </xdr:nvSpPr>
      <xdr:spPr>
        <a:xfrm rot="10800000" flipH="1">
          <a:off x="26113740" y="84909660"/>
          <a:ext cx="320039" cy="487680"/>
        </a:xfrm>
        <a:prstGeom prst="bentArrow">
          <a:avLst>
            <a:gd name="adj1" fmla="val 5634"/>
            <a:gd name="adj2" fmla="val 9856"/>
            <a:gd name="adj3" fmla="val 2009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99</xdr:col>
      <xdr:colOff>91440</xdr:colOff>
      <xdr:row>224</xdr:row>
      <xdr:rowOff>137160</xdr:rowOff>
    </xdr:from>
    <xdr:to>
      <xdr:col>101</xdr:col>
      <xdr:colOff>99060</xdr:colOff>
      <xdr:row>225</xdr:row>
      <xdr:rowOff>87630</xdr:rowOff>
    </xdr:to>
    <xdr:sp macro="" textlink="">
      <xdr:nvSpPr>
        <xdr:cNvPr id="295" name="矢印: 折線 294">
          <a:extLst>
            <a:ext uri="{FF2B5EF4-FFF2-40B4-BE49-F238E27FC236}">
              <a16:creationId xmlns:a16="http://schemas.microsoft.com/office/drawing/2014/main" id="{5EFAAD9E-347E-4836-B4BF-B45AD2280905}"/>
            </a:ext>
          </a:extLst>
        </xdr:cNvPr>
        <xdr:cNvSpPr>
          <a:spLocks/>
        </xdr:cNvSpPr>
      </xdr:nvSpPr>
      <xdr:spPr>
        <a:xfrm rot="16200000" flipH="1">
          <a:off x="26096595" y="84865845"/>
          <a:ext cx="331470" cy="41910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100</xdr:col>
      <xdr:colOff>22860</xdr:colOff>
      <xdr:row>227</xdr:row>
      <xdr:rowOff>152400</xdr:rowOff>
    </xdr:from>
    <xdr:to>
      <xdr:col>101</xdr:col>
      <xdr:colOff>137159</xdr:colOff>
      <xdr:row>228</xdr:row>
      <xdr:rowOff>259080</xdr:rowOff>
    </xdr:to>
    <xdr:sp macro="" textlink="">
      <xdr:nvSpPr>
        <xdr:cNvPr id="296" name="矢印: 折線 295">
          <a:extLst>
            <a:ext uri="{FF2B5EF4-FFF2-40B4-BE49-F238E27FC236}">
              <a16:creationId xmlns:a16="http://schemas.microsoft.com/office/drawing/2014/main" id="{487449D3-D935-46D8-8C48-B06D6C36CC5B}"/>
            </a:ext>
          </a:extLst>
        </xdr:cNvPr>
        <xdr:cNvSpPr>
          <a:spLocks/>
        </xdr:cNvSpPr>
      </xdr:nvSpPr>
      <xdr:spPr>
        <a:xfrm rot="10800000" flipH="1">
          <a:off x="26189940" y="86067900"/>
          <a:ext cx="320039" cy="487680"/>
        </a:xfrm>
        <a:prstGeom prst="bentArrow">
          <a:avLst>
            <a:gd name="adj1" fmla="val 5634"/>
            <a:gd name="adj2" fmla="val 9856"/>
            <a:gd name="adj3" fmla="val 2009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99</xdr:col>
      <xdr:colOff>167640</xdr:colOff>
      <xdr:row>227</xdr:row>
      <xdr:rowOff>152400</xdr:rowOff>
    </xdr:from>
    <xdr:to>
      <xdr:col>101</xdr:col>
      <xdr:colOff>175260</xdr:colOff>
      <xdr:row>228</xdr:row>
      <xdr:rowOff>102870</xdr:rowOff>
    </xdr:to>
    <xdr:sp macro="" textlink="">
      <xdr:nvSpPr>
        <xdr:cNvPr id="297" name="矢印: 折線 296">
          <a:extLst>
            <a:ext uri="{FF2B5EF4-FFF2-40B4-BE49-F238E27FC236}">
              <a16:creationId xmlns:a16="http://schemas.microsoft.com/office/drawing/2014/main" id="{225980B5-1B32-4CF9-99F3-21C1E8D0F8A0}"/>
            </a:ext>
          </a:extLst>
        </xdr:cNvPr>
        <xdr:cNvSpPr>
          <a:spLocks/>
        </xdr:cNvSpPr>
      </xdr:nvSpPr>
      <xdr:spPr>
        <a:xfrm rot="16200000" flipH="1">
          <a:off x="26172795" y="86024085"/>
          <a:ext cx="331470" cy="41910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100</xdr:col>
      <xdr:colOff>45720</xdr:colOff>
      <xdr:row>230</xdr:row>
      <xdr:rowOff>144780</xdr:rowOff>
    </xdr:from>
    <xdr:to>
      <xdr:col>101</xdr:col>
      <xdr:colOff>160019</xdr:colOff>
      <xdr:row>231</xdr:row>
      <xdr:rowOff>251460</xdr:rowOff>
    </xdr:to>
    <xdr:sp macro="" textlink="">
      <xdr:nvSpPr>
        <xdr:cNvPr id="298" name="矢印: 折線 297">
          <a:extLst>
            <a:ext uri="{FF2B5EF4-FFF2-40B4-BE49-F238E27FC236}">
              <a16:creationId xmlns:a16="http://schemas.microsoft.com/office/drawing/2014/main" id="{566AB1C7-3AE9-4F51-B00A-EB6C1B450E80}"/>
            </a:ext>
          </a:extLst>
        </xdr:cNvPr>
        <xdr:cNvSpPr>
          <a:spLocks/>
        </xdr:cNvSpPr>
      </xdr:nvSpPr>
      <xdr:spPr>
        <a:xfrm rot="10800000" flipH="1">
          <a:off x="26212800" y="87203280"/>
          <a:ext cx="320039" cy="487680"/>
        </a:xfrm>
        <a:prstGeom prst="bentArrow">
          <a:avLst>
            <a:gd name="adj1" fmla="val 5634"/>
            <a:gd name="adj2" fmla="val 9856"/>
            <a:gd name="adj3" fmla="val 2009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99</xdr:col>
      <xdr:colOff>190500</xdr:colOff>
      <xdr:row>230</xdr:row>
      <xdr:rowOff>144780</xdr:rowOff>
    </xdr:from>
    <xdr:to>
      <xdr:col>101</xdr:col>
      <xdr:colOff>198120</xdr:colOff>
      <xdr:row>231</xdr:row>
      <xdr:rowOff>95250</xdr:rowOff>
    </xdr:to>
    <xdr:sp macro="" textlink="">
      <xdr:nvSpPr>
        <xdr:cNvPr id="299" name="矢印: 折線 298">
          <a:extLst>
            <a:ext uri="{FF2B5EF4-FFF2-40B4-BE49-F238E27FC236}">
              <a16:creationId xmlns:a16="http://schemas.microsoft.com/office/drawing/2014/main" id="{6E4A8F1A-2BD0-4B56-B73E-76385D0DB967}"/>
            </a:ext>
          </a:extLst>
        </xdr:cNvPr>
        <xdr:cNvSpPr>
          <a:spLocks/>
        </xdr:cNvSpPr>
      </xdr:nvSpPr>
      <xdr:spPr>
        <a:xfrm rot="16200000" flipH="1">
          <a:off x="26195655" y="87159465"/>
          <a:ext cx="331470" cy="41910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100</xdr:col>
      <xdr:colOff>22860</xdr:colOff>
      <xdr:row>233</xdr:row>
      <xdr:rowOff>160020</xdr:rowOff>
    </xdr:from>
    <xdr:to>
      <xdr:col>101</xdr:col>
      <xdr:colOff>137159</xdr:colOff>
      <xdr:row>234</xdr:row>
      <xdr:rowOff>266700</xdr:rowOff>
    </xdr:to>
    <xdr:sp macro="" textlink="">
      <xdr:nvSpPr>
        <xdr:cNvPr id="300" name="矢印: 折線 299">
          <a:extLst>
            <a:ext uri="{FF2B5EF4-FFF2-40B4-BE49-F238E27FC236}">
              <a16:creationId xmlns:a16="http://schemas.microsoft.com/office/drawing/2014/main" id="{3C3734AD-F606-4F35-816F-579DA81D102F}"/>
            </a:ext>
          </a:extLst>
        </xdr:cNvPr>
        <xdr:cNvSpPr>
          <a:spLocks/>
        </xdr:cNvSpPr>
      </xdr:nvSpPr>
      <xdr:spPr>
        <a:xfrm rot="10800000" flipH="1">
          <a:off x="26189940" y="88361520"/>
          <a:ext cx="320039" cy="487680"/>
        </a:xfrm>
        <a:prstGeom prst="bentArrow">
          <a:avLst>
            <a:gd name="adj1" fmla="val 5634"/>
            <a:gd name="adj2" fmla="val 9856"/>
            <a:gd name="adj3" fmla="val 2009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99</xdr:col>
      <xdr:colOff>167640</xdr:colOff>
      <xdr:row>233</xdr:row>
      <xdr:rowOff>160020</xdr:rowOff>
    </xdr:from>
    <xdr:to>
      <xdr:col>101</xdr:col>
      <xdr:colOff>175260</xdr:colOff>
      <xdr:row>234</xdr:row>
      <xdr:rowOff>110490</xdr:rowOff>
    </xdr:to>
    <xdr:sp macro="" textlink="">
      <xdr:nvSpPr>
        <xdr:cNvPr id="301" name="矢印: 折線 300">
          <a:extLst>
            <a:ext uri="{FF2B5EF4-FFF2-40B4-BE49-F238E27FC236}">
              <a16:creationId xmlns:a16="http://schemas.microsoft.com/office/drawing/2014/main" id="{51450337-7FCE-41B7-A039-010EA20D449B}"/>
            </a:ext>
          </a:extLst>
        </xdr:cNvPr>
        <xdr:cNvSpPr>
          <a:spLocks/>
        </xdr:cNvSpPr>
      </xdr:nvSpPr>
      <xdr:spPr>
        <a:xfrm rot="16200000" flipH="1">
          <a:off x="26172795" y="88317705"/>
          <a:ext cx="331470" cy="41910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101</xdr:col>
      <xdr:colOff>22860</xdr:colOff>
      <xdr:row>236</xdr:row>
      <xdr:rowOff>144780</xdr:rowOff>
    </xdr:from>
    <xdr:to>
      <xdr:col>102</xdr:col>
      <xdr:colOff>137159</xdr:colOff>
      <xdr:row>237</xdr:row>
      <xdr:rowOff>251460</xdr:rowOff>
    </xdr:to>
    <xdr:sp macro="" textlink="">
      <xdr:nvSpPr>
        <xdr:cNvPr id="302" name="矢印: 折線 301">
          <a:extLst>
            <a:ext uri="{FF2B5EF4-FFF2-40B4-BE49-F238E27FC236}">
              <a16:creationId xmlns:a16="http://schemas.microsoft.com/office/drawing/2014/main" id="{31902BD3-3AA0-45B5-ACC8-C71AEF678872}"/>
            </a:ext>
          </a:extLst>
        </xdr:cNvPr>
        <xdr:cNvSpPr>
          <a:spLocks/>
        </xdr:cNvSpPr>
      </xdr:nvSpPr>
      <xdr:spPr>
        <a:xfrm rot="10800000" flipH="1">
          <a:off x="26395680" y="89489280"/>
          <a:ext cx="320039" cy="487680"/>
        </a:xfrm>
        <a:prstGeom prst="bentArrow">
          <a:avLst>
            <a:gd name="adj1" fmla="val 5634"/>
            <a:gd name="adj2" fmla="val 9856"/>
            <a:gd name="adj3" fmla="val 2009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100</xdr:col>
      <xdr:colOff>167640</xdr:colOff>
      <xdr:row>236</xdr:row>
      <xdr:rowOff>144780</xdr:rowOff>
    </xdr:from>
    <xdr:to>
      <xdr:col>102</xdr:col>
      <xdr:colOff>175260</xdr:colOff>
      <xdr:row>237</xdr:row>
      <xdr:rowOff>95250</xdr:rowOff>
    </xdr:to>
    <xdr:sp macro="" textlink="">
      <xdr:nvSpPr>
        <xdr:cNvPr id="303" name="矢印: 折線 302">
          <a:extLst>
            <a:ext uri="{FF2B5EF4-FFF2-40B4-BE49-F238E27FC236}">
              <a16:creationId xmlns:a16="http://schemas.microsoft.com/office/drawing/2014/main" id="{BE2ABA22-A58D-4EC3-9A1E-6ACCEDB40C17}"/>
            </a:ext>
          </a:extLst>
        </xdr:cNvPr>
        <xdr:cNvSpPr>
          <a:spLocks/>
        </xdr:cNvSpPr>
      </xdr:nvSpPr>
      <xdr:spPr>
        <a:xfrm rot="16200000" flipH="1">
          <a:off x="26378535" y="89445465"/>
          <a:ext cx="331470" cy="41910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101</xdr:col>
      <xdr:colOff>15240</xdr:colOff>
      <xdr:row>239</xdr:row>
      <xdr:rowOff>167640</xdr:rowOff>
    </xdr:from>
    <xdr:to>
      <xdr:col>102</xdr:col>
      <xdr:colOff>129539</xdr:colOff>
      <xdr:row>240</xdr:row>
      <xdr:rowOff>274320</xdr:rowOff>
    </xdr:to>
    <xdr:sp macro="" textlink="">
      <xdr:nvSpPr>
        <xdr:cNvPr id="304" name="矢印: 折線 303">
          <a:extLst>
            <a:ext uri="{FF2B5EF4-FFF2-40B4-BE49-F238E27FC236}">
              <a16:creationId xmlns:a16="http://schemas.microsoft.com/office/drawing/2014/main" id="{199214AA-8234-4F11-81E1-AB7FA77EDBA9}"/>
            </a:ext>
          </a:extLst>
        </xdr:cNvPr>
        <xdr:cNvSpPr>
          <a:spLocks/>
        </xdr:cNvSpPr>
      </xdr:nvSpPr>
      <xdr:spPr>
        <a:xfrm rot="10800000" flipH="1">
          <a:off x="26388060" y="90655140"/>
          <a:ext cx="320039" cy="487680"/>
        </a:xfrm>
        <a:prstGeom prst="bentArrow">
          <a:avLst>
            <a:gd name="adj1" fmla="val 5634"/>
            <a:gd name="adj2" fmla="val 9856"/>
            <a:gd name="adj3" fmla="val 2009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100</xdr:col>
      <xdr:colOff>160020</xdr:colOff>
      <xdr:row>239</xdr:row>
      <xdr:rowOff>167640</xdr:rowOff>
    </xdr:from>
    <xdr:to>
      <xdr:col>102</xdr:col>
      <xdr:colOff>167640</xdr:colOff>
      <xdr:row>240</xdr:row>
      <xdr:rowOff>118110</xdr:rowOff>
    </xdr:to>
    <xdr:sp macro="" textlink="">
      <xdr:nvSpPr>
        <xdr:cNvPr id="305" name="矢印: 折線 304">
          <a:extLst>
            <a:ext uri="{FF2B5EF4-FFF2-40B4-BE49-F238E27FC236}">
              <a16:creationId xmlns:a16="http://schemas.microsoft.com/office/drawing/2014/main" id="{AA4DEDE3-C944-41E6-8909-7C102C13A4D6}"/>
            </a:ext>
          </a:extLst>
        </xdr:cNvPr>
        <xdr:cNvSpPr>
          <a:spLocks/>
        </xdr:cNvSpPr>
      </xdr:nvSpPr>
      <xdr:spPr>
        <a:xfrm rot="16200000" flipH="1">
          <a:off x="26370915" y="90611325"/>
          <a:ext cx="331470" cy="41910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101</xdr:col>
      <xdr:colOff>7620</xdr:colOff>
      <xdr:row>242</xdr:row>
      <xdr:rowOff>175260</xdr:rowOff>
    </xdr:from>
    <xdr:to>
      <xdr:col>102</xdr:col>
      <xdr:colOff>121919</xdr:colOff>
      <xdr:row>243</xdr:row>
      <xdr:rowOff>281940</xdr:rowOff>
    </xdr:to>
    <xdr:sp macro="" textlink="">
      <xdr:nvSpPr>
        <xdr:cNvPr id="306" name="矢印: 折線 305">
          <a:extLst>
            <a:ext uri="{FF2B5EF4-FFF2-40B4-BE49-F238E27FC236}">
              <a16:creationId xmlns:a16="http://schemas.microsoft.com/office/drawing/2014/main" id="{65D69D52-ED13-413A-BE10-383B5CC6F73A}"/>
            </a:ext>
          </a:extLst>
        </xdr:cNvPr>
        <xdr:cNvSpPr>
          <a:spLocks/>
        </xdr:cNvSpPr>
      </xdr:nvSpPr>
      <xdr:spPr>
        <a:xfrm rot="10800000" flipH="1">
          <a:off x="26380440" y="91805760"/>
          <a:ext cx="320039" cy="487680"/>
        </a:xfrm>
        <a:prstGeom prst="bentArrow">
          <a:avLst>
            <a:gd name="adj1" fmla="val 5634"/>
            <a:gd name="adj2" fmla="val 9856"/>
            <a:gd name="adj3" fmla="val 2009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100</xdr:col>
      <xdr:colOff>152400</xdr:colOff>
      <xdr:row>242</xdr:row>
      <xdr:rowOff>175260</xdr:rowOff>
    </xdr:from>
    <xdr:to>
      <xdr:col>102</xdr:col>
      <xdr:colOff>160020</xdr:colOff>
      <xdr:row>243</xdr:row>
      <xdr:rowOff>125730</xdr:rowOff>
    </xdr:to>
    <xdr:sp macro="" textlink="">
      <xdr:nvSpPr>
        <xdr:cNvPr id="307" name="矢印: 折線 306">
          <a:extLst>
            <a:ext uri="{FF2B5EF4-FFF2-40B4-BE49-F238E27FC236}">
              <a16:creationId xmlns:a16="http://schemas.microsoft.com/office/drawing/2014/main" id="{5BF8079D-3678-45A8-98D1-CE008DE26C5D}"/>
            </a:ext>
          </a:extLst>
        </xdr:cNvPr>
        <xdr:cNvSpPr>
          <a:spLocks/>
        </xdr:cNvSpPr>
      </xdr:nvSpPr>
      <xdr:spPr>
        <a:xfrm rot="16200000" flipH="1">
          <a:off x="26363295" y="91761945"/>
          <a:ext cx="331470" cy="41910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101</xdr:col>
      <xdr:colOff>15240</xdr:colOff>
      <xdr:row>245</xdr:row>
      <xdr:rowOff>152400</xdr:rowOff>
    </xdr:from>
    <xdr:to>
      <xdr:col>102</xdr:col>
      <xdr:colOff>129539</xdr:colOff>
      <xdr:row>246</xdr:row>
      <xdr:rowOff>259080</xdr:rowOff>
    </xdr:to>
    <xdr:sp macro="" textlink="">
      <xdr:nvSpPr>
        <xdr:cNvPr id="308" name="矢印: 折線 307">
          <a:extLst>
            <a:ext uri="{FF2B5EF4-FFF2-40B4-BE49-F238E27FC236}">
              <a16:creationId xmlns:a16="http://schemas.microsoft.com/office/drawing/2014/main" id="{9B1ED996-2BA1-48B0-AD2C-F5F535CC69FD}"/>
            </a:ext>
          </a:extLst>
        </xdr:cNvPr>
        <xdr:cNvSpPr>
          <a:spLocks/>
        </xdr:cNvSpPr>
      </xdr:nvSpPr>
      <xdr:spPr>
        <a:xfrm rot="10800000" flipH="1">
          <a:off x="26388060" y="92925900"/>
          <a:ext cx="320039" cy="487680"/>
        </a:xfrm>
        <a:prstGeom prst="bentArrow">
          <a:avLst>
            <a:gd name="adj1" fmla="val 5634"/>
            <a:gd name="adj2" fmla="val 9856"/>
            <a:gd name="adj3" fmla="val 2009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100</xdr:col>
      <xdr:colOff>160020</xdr:colOff>
      <xdr:row>245</xdr:row>
      <xdr:rowOff>152400</xdr:rowOff>
    </xdr:from>
    <xdr:to>
      <xdr:col>102</xdr:col>
      <xdr:colOff>167640</xdr:colOff>
      <xdr:row>246</xdr:row>
      <xdr:rowOff>102870</xdr:rowOff>
    </xdr:to>
    <xdr:sp macro="" textlink="">
      <xdr:nvSpPr>
        <xdr:cNvPr id="309" name="矢印: 折線 308">
          <a:extLst>
            <a:ext uri="{FF2B5EF4-FFF2-40B4-BE49-F238E27FC236}">
              <a16:creationId xmlns:a16="http://schemas.microsoft.com/office/drawing/2014/main" id="{5FFD02DF-DA13-4123-9B38-065389F1AAC8}"/>
            </a:ext>
          </a:extLst>
        </xdr:cNvPr>
        <xdr:cNvSpPr>
          <a:spLocks/>
        </xdr:cNvSpPr>
      </xdr:nvSpPr>
      <xdr:spPr>
        <a:xfrm rot="16200000" flipH="1">
          <a:off x="26370915" y="92882085"/>
          <a:ext cx="331470" cy="41910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101</xdr:col>
      <xdr:colOff>99060</xdr:colOff>
      <xdr:row>253</xdr:row>
      <xdr:rowOff>167640</xdr:rowOff>
    </xdr:from>
    <xdr:to>
      <xdr:col>106</xdr:col>
      <xdr:colOff>83819</xdr:colOff>
      <xdr:row>254</xdr:row>
      <xdr:rowOff>274320</xdr:rowOff>
    </xdr:to>
    <xdr:sp macro="" textlink="">
      <xdr:nvSpPr>
        <xdr:cNvPr id="310" name="矢印: 折線 309">
          <a:extLst>
            <a:ext uri="{FF2B5EF4-FFF2-40B4-BE49-F238E27FC236}">
              <a16:creationId xmlns:a16="http://schemas.microsoft.com/office/drawing/2014/main" id="{A37B313B-2325-4342-B900-C75DEC28D4A8}"/>
            </a:ext>
          </a:extLst>
        </xdr:cNvPr>
        <xdr:cNvSpPr>
          <a:spLocks/>
        </xdr:cNvSpPr>
      </xdr:nvSpPr>
      <xdr:spPr>
        <a:xfrm rot="10800000" flipH="1">
          <a:off x="26471880" y="95989140"/>
          <a:ext cx="1013459" cy="487680"/>
        </a:xfrm>
        <a:prstGeom prst="bentArrow">
          <a:avLst>
            <a:gd name="adj1" fmla="val 5634"/>
            <a:gd name="adj2" fmla="val 9856"/>
            <a:gd name="adj3" fmla="val 2009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101</xdr:col>
      <xdr:colOff>38100</xdr:colOff>
      <xdr:row>253</xdr:row>
      <xdr:rowOff>175260</xdr:rowOff>
    </xdr:from>
    <xdr:to>
      <xdr:col>103</xdr:col>
      <xdr:colOff>45720</xdr:colOff>
      <xdr:row>254</xdr:row>
      <xdr:rowOff>125730</xdr:rowOff>
    </xdr:to>
    <xdr:sp macro="" textlink="">
      <xdr:nvSpPr>
        <xdr:cNvPr id="311" name="矢印: 折線 310">
          <a:extLst>
            <a:ext uri="{FF2B5EF4-FFF2-40B4-BE49-F238E27FC236}">
              <a16:creationId xmlns:a16="http://schemas.microsoft.com/office/drawing/2014/main" id="{D5035B93-6522-4F47-98B6-1D77BC193049}"/>
            </a:ext>
          </a:extLst>
        </xdr:cNvPr>
        <xdr:cNvSpPr>
          <a:spLocks/>
        </xdr:cNvSpPr>
      </xdr:nvSpPr>
      <xdr:spPr>
        <a:xfrm rot="16200000" flipH="1">
          <a:off x="26454735" y="95952945"/>
          <a:ext cx="331470" cy="41910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105</xdr:col>
      <xdr:colOff>182880</xdr:colOff>
      <xdr:row>256</xdr:row>
      <xdr:rowOff>182880</xdr:rowOff>
    </xdr:from>
    <xdr:to>
      <xdr:col>108</xdr:col>
      <xdr:colOff>76200</xdr:colOff>
      <xdr:row>257</xdr:row>
      <xdr:rowOff>289560</xdr:rowOff>
    </xdr:to>
    <xdr:sp macro="" textlink="">
      <xdr:nvSpPr>
        <xdr:cNvPr id="312" name="矢印: 折線 311">
          <a:extLst>
            <a:ext uri="{FF2B5EF4-FFF2-40B4-BE49-F238E27FC236}">
              <a16:creationId xmlns:a16="http://schemas.microsoft.com/office/drawing/2014/main" id="{406C18B4-03BC-4062-9AA3-A1E80A7A2487}"/>
            </a:ext>
          </a:extLst>
        </xdr:cNvPr>
        <xdr:cNvSpPr>
          <a:spLocks/>
        </xdr:cNvSpPr>
      </xdr:nvSpPr>
      <xdr:spPr>
        <a:xfrm rot="10800000" flipH="1">
          <a:off x="27378660" y="97147380"/>
          <a:ext cx="510540" cy="487680"/>
        </a:xfrm>
        <a:prstGeom prst="bentArrow">
          <a:avLst>
            <a:gd name="adj1" fmla="val 5634"/>
            <a:gd name="adj2" fmla="val 9856"/>
            <a:gd name="adj3" fmla="val 2009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105</xdr:col>
      <xdr:colOff>121920</xdr:colOff>
      <xdr:row>256</xdr:row>
      <xdr:rowOff>182880</xdr:rowOff>
    </xdr:from>
    <xdr:to>
      <xdr:col>107</xdr:col>
      <xdr:colOff>129540</xdr:colOff>
      <xdr:row>257</xdr:row>
      <xdr:rowOff>133350</xdr:rowOff>
    </xdr:to>
    <xdr:sp macro="" textlink="">
      <xdr:nvSpPr>
        <xdr:cNvPr id="313" name="矢印: 折線 312">
          <a:extLst>
            <a:ext uri="{FF2B5EF4-FFF2-40B4-BE49-F238E27FC236}">
              <a16:creationId xmlns:a16="http://schemas.microsoft.com/office/drawing/2014/main" id="{A86BC1D8-32A0-474F-B358-7856C4B82349}"/>
            </a:ext>
          </a:extLst>
        </xdr:cNvPr>
        <xdr:cNvSpPr>
          <a:spLocks/>
        </xdr:cNvSpPr>
      </xdr:nvSpPr>
      <xdr:spPr>
        <a:xfrm rot="16200000" flipH="1">
          <a:off x="27361515" y="97103565"/>
          <a:ext cx="331470" cy="41910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107</xdr:col>
      <xdr:colOff>152400</xdr:colOff>
      <xdr:row>259</xdr:row>
      <xdr:rowOff>167640</xdr:rowOff>
    </xdr:from>
    <xdr:to>
      <xdr:col>110</xdr:col>
      <xdr:colOff>45720</xdr:colOff>
      <xdr:row>260</xdr:row>
      <xdr:rowOff>274320</xdr:rowOff>
    </xdr:to>
    <xdr:sp macro="" textlink="">
      <xdr:nvSpPr>
        <xdr:cNvPr id="314" name="矢印: 折線 313">
          <a:extLst>
            <a:ext uri="{FF2B5EF4-FFF2-40B4-BE49-F238E27FC236}">
              <a16:creationId xmlns:a16="http://schemas.microsoft.com/office/drawing/2014/main" id="{4CD0819F-C3DE-47A8-9738-6B12EE3BC84F}"/>
            </a:ext>
          </a:extLst>
        </xdr:cNvPr>
        <xdr:cNvSpPr>
          <a:spLocks/>
        </xdr:cNvSpPr>
      </xdr:nvSpPr>
      <xdr:spPr>
        <a:xfrm rot="10800000" flipH="1">
          <a:off x="27759660" y="98275140"/>
          <a:ext cx="510540" cy="487680"/>
        </a:xfrm>
        <a:prstGeom prst="bentArrow">
          <a:avLst>
            <a:gd name="adj1" fmla="val 5634"/>
            <a:gd name="adj2" fmla="val 9856"/>
            <a:gd name="adj3" fmla="val 2009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107</xdr:col>
      <xdr:colOff>91440</xdr:colOff>
      <xdr:row>259</xdr:row>
      <xdr:rowOff>167640</xdr:rowOff>
    </xdr:from>
    <xdr:to>
      <xdr:col>109</xdr:col>
      <xdr:colOff>99060</xdr:colOff>
      <xdr:row>260</xdr:row>
      <xdr:rowOff>118110</xdr:rowOff>
    </xdr:to>
    <xdr:sp macro="" textlink="">
      <xdr:nvSpPr>
        <xdr:cNvPr id="315" name="矢印: 折線 314">
          <a:extLst>
            <a:ext uri="{FF2B5EF4-FFF2-40B4-BE49-F238E27FC236}">
              <a16:creationId xmlns:a16="http://schemas.microsoft.com/office/drawing/2014/main" id="{551EAC48-4815-4996-AC66-21763CAA63BC}"/>
            </a:ext>
          </a:extLst>
        </xdr:cNvPr>
        <xdr:cNvSpPr>
          <a:spLocks/>
        </xdr:cNvSpPr>
      </xdr:nvSpPr>
      <xdr:spPr>
        <a:xfrm rot="16200000" flipH="1">
          <a:off x="27742515" y="98231325"/>
          <a:ext cx="331470" cy="419100"/>
        </a:xfrm>
        <a:prstGeom prst="bentArrow">
          <a:avLst>
            <a:gd name="adj1" fmla="val 13134"/>
            <a:gd name="adj2" fmla="val 25000"/>
            <a:gd name="adj3" fmla="val 28846"/>
            <a:gd name="adj4"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画像 1" descr="Vertex42 ロゴ">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ED279"/>
  <sheetViews>
    <sheetView showGridLines="0" tabSelected="1" showRuler="0" zoomScaleNormal="100" zoomScalePageLayoutView="70" workbookViewId="0">
      <pane ySplit="6" topLeftCell="A16" activePane="bottomLeft" state="frozen"/>
      <selection pane="bottomLeft" activeCell="E24" sqref="E24"/>
    </sheetView>
  </sheetViews>
  <sheetFormatPr defaultRowHeight="30" customHeight="1" x14ac:dyDescent="0.3"/>
  <cols>
    <col min="1" max="1" width="2.54296875" style="6" customWidth="1"/>
    <col min="2" max="2" width="19.81640625" customWidth="1"/>
    <col min="3" max="3" width="30.54296875" customWidth="1"/>
    <col min="4" max="4" width="10.54296875" customWidth="1"/>
    <col min="5" max="5" width="10.1796875" style="2" customWidth="1"/>
    <col min="6" max="6" width="10.1796875" customWidth="1"/>
    <col min="7" max="7" width="2.54296875" customWidth="1"/>
    <col min="8" max="8" width="6" hidden="1" customWidth="1"/>
    <col min="9" max="134" width="2.453125" customWidth="1"/>
  </cols>
  <sheetData>
    <row r="1" spans="1:134" ht="30" customHeight="1" x14ac:dyDescent="0.55000000000000004">
      <c r="A1" s="7" t="s">
        <v>0</v>
      </c>
      <c r="B1" s="9" t="s">
        <v>37</v>
      </c>
      <c r="C1" s="18"/>
      <c r="D1" s="19"/>
      <c r="E1" s="20"/>
      <c r="F1" s="21"/>
      <c r="H1" s="19"/>
      <c r="I1" s="22" t="s">
        <v>21</v>
      </c>
    </row>
    <row r="2" spans="1:134" ht="30" customHeight="1" x14ac:dyDescent="0.35">
      <c r="A2" s="6" t="s">
        <v>1</v>
      </c>
      <c r="B2" s="10" t="s">
        <v>13</v>
      </c>
      <c r="I2" s="23" t="s">
        <v>22</v>
      </c>
    </row>
    <row r="3" spans="1:134" ht="30" customHeight="1" x14ac:dyDescent="0.3">
      <c r="A3" s="6" t="s">
        <v>2</v>
      </c>
      <c r="B3" s="11" t="s">
        <v>14</v>
      </c>
      <c r="C3" s="85" t="s">
        <v>15</v>
      </c>
      <c r="D3" s="86"/>
      <c r="E3" s="84">
        <v>46314</v>
      </c>
      <c r="F3" s="84"/>
    </row>
    <row r="4" spans="1:134" ht="30" customHeight="1" x14ac:dyDescent="0.3">
      <c r="A4" s="7" t="s">
        <v>3</v>
      </c>
      <c r="C4" s="85" t="s">
        <v>16</v>
      </c>
      <c r="D4" s="86"/>
      <c r="E4" s="3">
        <v>1</v>
      </c>
      <c r="I4" s="81">
        <f>I5</f>
        <v>46314</v>
      </c>
      <c r="J4" s="82"/>
      <c r="K4" s="82"/>
      <c r="L4" s="82"/>
      <c r="M4" s="82"/>
      <c r="N4" s="82"/>
      <c r="O4" s="83"/>
      <c r="P4" s="81">
        <f>P5</f>
        <v>46321</v>
      </c>
      <c r="Q4" s="82"/>
      <c r="R4" s="82"/>
      <c r="S4" s="82"/>
      <c r="T4" s="82"/>
      <c r="U4" s="82"/>
      <c r="V4" s="83"/>
      <c r="W4" s="81">
        <f>W5</f>
        <v>46328</v>
      </c>
      <c r="X4" s="82"/>
      <c r="Y4" s="82"/>
      <c r="Z4" s="82"/>
      <c r="AA4" s="82"/>
      <c r="AB4" s="82"/>
      <c r="AC4" s="83"/>
      <c r="AD4" s="81">
        <f>AD5</f>
        <v>46335</v>
      </c>
      <c r="AE4" s="82"/>
      <c r="AF4" s="82"/>
      <c r="AG4" s="82"/>
      <c r="AH4" s="82"/>
      <c r="AI4" s="82"/>
      <c r="AJ4" s="83"/>
      <c r="AK4" s="81">
        <f>AK5</f>
        <v>46342</v>
      </c>
      <c r="AL4" s="82"/>
      <c r="AM4" s="82"/>
      <c r="AN4" s="82"/>
      <c r="AO4" s="82"/>
      <c r="AP4" s="82"/>
      <c r="AQ4" s="83"/>
      <c r="AR4" s="81">
        <f>AR5</f>
        <v>46349</v>
      </c>
      <c r="AS4" s="82"/>
      <c r="AT4" s="82"/>
      <c r="AU4" s="82"/>
      <c r="AV4" s="82"/>
      <c r="AW4" s="82"/>
      <c r="AX4" s="83"/>
      <c r="AY4" s="81">
        <f>AY5</f>
        <v>46356</v>
      </c>
      <c r="AZ4" s="82"/>
      <c r="BA4" s="82"/>
      <c r="BB4" s="82"/>
      <c r="BC4" s="82"/>
      <c r="BD4" s="82"/>
      <c r="BE4" s="83"/>
      <c r="BF4" s="81">
        <f>BF5</f>
        <v>46363</v>
      </c>
      <c r="BG4" s="82"/>
      <c r="BH4" s="82"/>
      <c r="BI4" s="82"/>
      <c r="BJ4" s="82"/>
      <c r="BK4" s="82"/>
      <c r="BL4" s="83"/>
      <c r="BM4" s="81">
        <f>BM5</f>
        <v>46370</v>
      </c>
      <c r="BN4" s="82"/>
      <c r="BO4" s="82"/>
      <c r="BP4" s="82"/>
      <c r="BQ4" s="82"/>
      <c r="BR4" s="82"/>
      <c r="BS4" s="83"/>
      <c r="BT4" s="81">
        <f t="shared" ref="BT4" si="0">BT5</f>
        <v>46377</v>
      </c>
      <c r="BU4" s="82"/>
      <c r="BV4" s="82"/>
      <c r="BW4" s="82"/>
      <c r="BX4" s="82"/>
      <c r="BY4" s="82"/>
      <c r="BZ4" s="83"/>
      <c r="CA4" s="81">
        <f t="shared" ref="CA4" si="1">CA5</f>
        <v>46384</v>
      </c>
      <c r="CB4" s="82"/>
      <c r="CC4" s="82"/>
      <c r="CD4" s="82"/>
      <c r="CE4" s="82"/>
      <c r="CF4" s="82"/>
      <c r="CG4" s="83"/>
      <c r="CH4" s="81">
        <f t="shared" ref="CH4" si="2">CH5</f>
        <v>46391</v>
      </c>
      <c r="CI4" s="82"/>
      <c r="CJ4" s="82"/>
      <c r="CK4" s="82"/>
      <c r="CL4" s="82"/>
      <c r="CM4" s="82"/>
      <c r="CN4" s="83"/>
      <c r="CO4" s="81">
        <f t="shared" ref="CO4" si="3">CO5</f>
        <v>46398</v>
      </c>
      <c r="CP4" s="82"/>
      <c r="CQ4" s="82"/>
      <c r="CR4" s="82"/>
      <c r="CS4" s="82"/>
      <c r="CT4" s="82"/>
      <c r="CU4" s="83"/>
      <c r="CV4" s="81">
        <f>CV5</f>
        <v>46405</v>
      </c>
      <c r="CW4" s="82"/>
      <c r="CX4" s="82"/>
      <c r="CY4" s="82"/>
      <c r="CZ4" s="82"/>
      <c r="DA4" s="82"/>
      <c r="DB4" s="83"/>
      <c r="DC4" s="81">
        <f>DC5</f>
        <v>46412</v>
      </c>
      <c r="DD4" s="82"/>
      <c r="DE4" s="82"/>
      <c r="DF4" s="82"/>
      <c r="DG4" s="82"/>
      <c r="DH4" s="82"/>
      <c r="DI4" s="83"/>
      <c r="DJ4" s="81">
        <f t="shared" ref="DJ4" si="4">DJ5</f>
        <v>46419</v>
      </c>
      <c r="DK4" s="82"/>
      <c r="DL4" s="82"/>
      <c r="DM4" s="82"/>
      <c r="DN4" s="82"/>
      <c r="DO4" s="82"/>
      <c r="DP4" s="83"/>
      <c r="DQ4" s="81">
        <f t="shared" ref="DQ4" si="5">DQ5</f>
        <v>46426</v>
      </c>
      <c r="DR4" s="82"/>
      <c r="DS4" s="82"/>
      <c r="DT4" s="82"/>
      <c r="DU4" s="82"/>
      <c r="DV4" s="82"/>
      <c r="DW4" s="83"/>
      <c r="DX4" s="81">
        <f t="shared" ref="DX4" si="6">DX5</f>
        <v>46433</v>
      </c>
      <c r="DY4" s="82"/>
      <c r="DZ4" s="82"/>
      <c r="EA4" s="82"/>
      <c r="EB4" s="82"/>
      <c r="EC4" s="82"/>
      <c r="ED4" s="83"/>
    </row>
    <row r="5" spans="1:134" ht="15" customHeight="1" x14ac:dyDescent="0.3">
      <c r="A5" s="7" t="s">
        <v>4</v>
      </c>
      <c r="B5" s="17"/>
      <c r="C5" s="17"/>
      <c r="D5" s="17"/>
      <c r="E5" s="17"/>
      <c r="F5" s="17"/>
      <c r="G5" s="17"/>
      <c r="I5" s="51">
        <f>プロジェクトの開始-WEEKDAY(プロジェクトの開始,1)+2+7*(週表示-1)</f>
        <v>46314</v>
      </c>
      <c r="J5" s="52">
        <f>I5+1</f>
        <v>46315</v>
      </c>
      <c r="K5" s="52">
        <f t="shared" ref="K5:AX5" si="7">J5+1</f>
        <v>46316</v>
      </c>
      <c r="L5" s="52">
        <f t="shared" si="7"/>
        <v>46317</v>
      </c>
      <c r="M5" s="52">
        <f t="shared" si="7"/>
        <v>46318</v>
      </c>
      <c r="N5" s="52">
        <f t="shared" si="7"/>
        <v>46319</v>
      </c>
      <c r="O5" s="53">
        <f t="shared" si="7"/>
        <v>46320</v>
      </c>
      <c r="P5" s="51">
        <f>O5+1</f>
        <v>46321</v>
      </c>
      <c r="Q5" s="52">
        <f>P5+1</f>
        <v>46322</v>
      </c>
      <c r="R5" s="52">
        <f t="shared" si="7"/>
        <v>46323</v>
      </c>
      <c r="S5" s="52">
        <f t="shared" si="7"/>
        <v>46324</v>
      </c>
      <c r="T5" s="52">
        <f t="shared" si="7"/>
        <v>46325</v>
      </c>
      <c r="U5" s="52">
        <f t="shared" si="7"/>
        <v>46326</v>
      </c>
      <c r="V5" s="53">
        <f t="shared" si="7"/>
        <v>46327</v>
      </c>
      <c r="W5" s="51">
        <f>V5+1</f>
        <v>46328</v>
      </c>
      <c r="X5" s="52">
        <f>W5+1</f>
        <v>46329</v>
      </c>
      <c r="Y5" s="52">
        <f t="shared" si="7"/>
        <v>46330</v>
      </c>
      <c r="Z5" s="52">
        <f t="shared" si="7"/>
        <v>46331</v>
      </c>
      <c r="AA5" s="52">
        <f t="shared" si="7"/>
        <v>46332</v>
      </c>
      <c r="AB5" s="52">
        <f t="shared" si="7"/>
        <v>46333</v>
      </c>
      <c r="AC5" s="53">
        <f t="shared" si="7"/>
        <v>46334</v>
      </c>
      <c r="AD5" s="51">
        <f>AC5+1</f>
        <v>46335</v>
      </c>
      <c r="AE5" s="52">
        <f>AD5+1</f>
        <v>46336</v>
      </c>
      <c r="AF5" s="52">
        <f t="shared" si="7"/>
        <v>46337</v>
      </c>
      <c r="AG5" s="52">
        <f t="shared" si="7"/>
        <v>46338</v>
      </c>
      <c r="AH5" s="52">
        <f t="shared" si="7"/>
        <v>46339</v>
      </c>
      <c r="AI5" s="52">
        <f t="shared" si="7"/>
        <v>46340</v>
      </c>
      <c r="AJ5" s="53">
        <f t="shared" si="7"/>
        <v>46341</v>
      </c>
      <c r="AK5" s="51">
        <f>AJ5+1</f>
        <v>46342</v>
      </c>
      <c r="AL5" s="52">
        <f>AK5+1</f>
        <v>46343</v>
      </c>
      <c r="AM5" s="52">
        <f t="shared" si="7"/>
        <v>46344</v>
      </c>
      <c r="AN5" s="52">
        <f t="shared" si="7"/>
        <v>46345</v>
      </c>
      <c r="AO5" s="52">
        <f t="shared" si="7"/>
        <v>46346</v>
      </c>
      <c r="AP5" s="52">
        <f t="shared" si="7"/>
        <v>46347</v>
      </c>
      <c r="AQ5" s="53">
        <f t="shared" si="7"/>
        <v>46348</v>
      </c>
      <c r="AR5" s="51">
        <f>AQ5+1</f>
        <v>46349</v>
      </c>
      <c r="AS5" s="52">
        <f>AR5+1</f>
        <v>46350</v>
      </c>
      <c r="AT5" s="52">
        <f t="shared" si="7"/>
        <v>46351</v>
      </c>
      <c r="AU5" s="52">
        <f t="shared" si="7"/>
        <v>46352</v>
      </c>
      <c r="AV5" s="52">
        <f t="shared" si="7"/>
        <v>46353</v>
      </c>
      <c r="AW5" s="52">
        <f t="shared" si="7"/>
        <v>46354</v>
      </c>
      <c r="AX5" s="53">
        <f t="shared" si="7"/>
        <v>46355</v>
      </c>
      <c r="AY5" s="51">
        <f>AX5+1</f>
        <v>46356</v>
      </c>
      <c r="AZ5" s="52">
        <f>AY5+1</f>
        <v>46357</v>
      </c>
      <c r="BA5" s="52">
        <f t="shared" ref="BA5:BE5" si="8">AZ5+1</f>
        <v>46358</v>
      </c>
      <c r="BB5" s="52">
        <f t="shared" si="8"/>
        <v>46359</v>
      </c>
      <c r="BC5" s="52">
        <f t="shared" si="8"/>
        <v>46360</v>
      </c>
      <c r="BD5" s="52">
        <f t="shared" si="8"/>
        <v>46361</v>
      </c>
      <c r="BE5" s="53">
        <f t="shared" si="8"/>
        <v>46362</v>
      </c>
      <c r="BF5" s="51">
        <f>BE5+1</f>
        <v>46363</v>
      </c>
      <c r="BG5" s="52">
        <f>BF5+1</f>
        <v>46364</v>
      </c>
      <c r="BH5" s="52">
        <f t="shared" ref="BH5:BL5" si="9">BG5+1</f>
        <v>46365</v>
      </c>
      <c r="BI5" s="52">
        <f t="shared" si="9"/>
        <v>46366</v>
      </c>
      <c r="BJ5" s="52">
        <f t="shared" si="9"/>
        <v>46367</v>
      </c>
      <c r="BK5" s="52">
        <f t="shared" si="9"/>
        <v>46368</v>
      </c>
      <c r="BL5" s="53">
        <f t="shared" si="9"/>
        <v>46369</v>
      </c>
      <c r="BM5" s="51">
        <f>BL5+1</f>
        <v>46370</v>
      </c>
      <c r="BN5" s="52">
        <f>BM5+1</f>
        <v>46371</v>
      </c>
      <c r="BO5" s="52">
        <f t="shared" ref="BO5" si="10">BN5+1</f>
        <v>46372</v>
      </c>
      <c r="BP5" s="52">
        <f t="shared" ref="BP5" si="11">BO5+1</f>
        <v>46373</v>
      </c>
      <c r="BQ5" s="52">
        <f t="shared" ref="BQ5" si="12">BP5+1</f>
        <v>46374</v>
      </c>
      <c r="BR5" s="52">
        <f t="shared" ref="BR5" si="13">BQ5+1</f>
        <v>46375</v>
      </c>
      <c r="BS5" s="53">
        <f t="shared" ref="BS5:BU5" si="14">BR5+1</f>
        <v>46376</v>
      </c>
      <c r="BT5" s="51">
        <f t="shared" si="14"/>
        <v>46377</v>
      </c>
      <c r="BU5" s="52">
        <f t="shared" si="14"/>
        <v>46378</v>
      </c>
      <c r="BV5" s="52">
        <f t="shared" ref="BV5" si="15">BU5+1</f>
        <v>46379</v>
      </c>
      <c r="BW5" s="52">
        <f t="shared" ref="BW5" si="16">BV5+1</f>
        <v>46380</v>
      </c>
      <c r="BX5" s="52">
        <f t="shared" ref="BX5" si="17">BW5+1</f>
        <v>46381</v>
      </c>
      <c r="BY5" s="52">
        <f t="shared" ref="BY5" si="18">BX5+1</f>
        <v>46382</v>
      </c>
      <c r="BZ5" s="53">
        <f t="shared" ref="BZ5:CB5" si="19">BY5+1</f>
        <v>46383</v>
      </c>
      <c r="CA5" s="51">
        <f t="shared" si="19"/>
        <v>46384</v>
      </c>
      <c r="CB5" s="52">
        <f t="shared" si="19"/>
        <v>46385</v>
      </c>
      <c r="CC5" s="52">
        <f t="shared" ref="CC5" si="20">CB5+1</f>
        <v>46386</v>
      </c>
      <c r="CD5" s="52">
        <f t="shared" ref="CD5" si="21">CC5+1</f>
        <v>46387</v>
      </c>
      <c r="CE5" s="52">
        <f t="shared" ref="CE5" si="22">CD5+1</f>
        <v>46388</v>
      </c>
      <c r="CF5" s="52">
        <f t="shared" ref="CF5" si="23">CE5+1</f>
        <v>46389</v>
      </c>
      <c r="CG5" s="53">
        <f t="shared" ref="CG5:CI5" si="24">CF5+1</f>
        <v>46390</v>
      </c>
      <c r="CH5" s="51">
        <f t="shared" si="24"/>
        <v>46391</v>
      </c>
      <c r="CI5" s="52">
        <f t="shared" si="24"/>
        <v>46392</v>
      </c>
      <c r="CJ5" s="52">
        <f t="shared" ref="CJ5" si="25">CI5+1</f>
        <v>46393</v>
      </c>
      <c r="CK5" s="52">
        <f t="shared" ref="CK5" si="26">CJ5+1</f>
        <v>46394</v>
      </c>
      <c r="CL5" s="52">
        <f t="shared" ref="CL5" si="27">CK5+1</f>
        <v>46395</v>
      </c>
      <c r="CM5" s="52">
        <f t="shared" ref="CM5" si="28">CL5+1</f>
        <v>46396</v>
      </c>
      <c r="CN5" s="53">
        <f t="shared" ref="CN5:CP5" si="29">CM5+1</f>
        <v>46397</v>
      </c>
      <c r="CO5" s="51">
        <f t="shared" si="29"/>
        <v>46398</v>
      </c>
      <c r="CP5" s="52">
        <f t="shared" si="29"/>
        <v>46399</v>
      </c>
      <c r="CQ5" s="52">
        <f t="shared" ref="CQ5" si="30">CP5+1</f>
        <v>46400</v>
      </c>
      <c r="CR5" s="52">
        <f t="shared" ref="CR5" si="31">CQ5+1</f>
        <v>46401</v>
      </c>
      <c r="CS5" s="52">
        <f t="shared" ref="CS5" si="32">CR5+1</f>
        <v>46402</v>
      </c>
      <c r="CT5" s="52">
        <f t="shared" ref="CT5" si="33">CS5+1</f>
        <v>46403</v>
      </c>
      <c r="CU5" s="53">
        <f t="shared" ref="CU5" si="34">CT5+1</f>
        <v>46404</v>
      </c>
      <c r="CV5" s="51">
        <f>CU5+1</f>
        <v>46405</v>
      </c>
      <c r="CW5" s="52">
        <f>CV5+1</f>
        <v>46406</v>
      </c>
      <c r="CX5" s="52">
        <f t="shared" ref="CX5" si="35">CW5+1</f>
        <v>46407</v>
      </c>
      <c r="CY5" s="52">
        <f t="shared" ref="CY5" si="36">CX5+1</f>
        <v>46408</v>
      </c>
      <c r="CZ5" s="52">
        <f t="shared" ref="CZ5" si="37">CY5+1</f>
        <v>46409</v>
      </c>
      <c r="DA5" s="52">
        <f t="shared" ref="DA5" si="38">CZ5+1</f>
        <v>46410</v>
      </c>
      <c r="DB5" s="53">
        <f t="shared" ref="DB5" si="39">DA5+1</f>
        <v>46411</v>
      </c>
      <c r="DC5" s="51">
        <f>DB5+1</f>
        <v>46412</v>
      </c>
      <c r="DD5" s="52">
        <f>DC5+1</f>
        <v>46413</v>
      </c>
      <c r="DE5" s="52">
        <f t="shared" ref="DE5" si="40">DD5+1</f>
        <v>46414</v>
      </c>
      <c r="DF5" s="52">
        <f t="shared" ref="DF5" si="41">DE5+1</f>
        <v>46415</v>
      </c>
      <c r="DG5" s="52">
        <f t="shared" ref="DG5" si="42">DF5+1</f>
        <v>46416</v>
      </c>
      <c r="DH5" s="52">
        <f t="shared" ref="DH5" si="43">DG5+1</f>
        <v>46417</v>
      </c>
      <c r="DI5" s="53">
        <f t="shared" ref="DI5" si="44">DH5+1</f>
        <v>46418</v>
      </c>
      <c r="DJ5" s="51">
        <f t="shared" ref="DJ5" si="45">DI5+1</f>
        <v>46419</v>
      </c>
      <c r="DK5" s="52">
        <f t="shared" ref="DK5" si="46">DJ5+1</f>
        <v>46420</v>
      </c>
      <c r="DL5" s="52">
        <f t="shared" ref="DL5" si="47">DK5+1</f>
        <v>46421</v>
      </c>
      <c r="DM5" s="52">
        <f t="shared" ref="DM5" si="48">DL5+1</f>
        <v>46422</v>
      </c>
      <c r="DN5" s="52">
        <f t="shared" ref="DN5" si="49">DM5+1</f>
        <v>46423</v>
      </c>
      <c r="DO5" s="52">
        <f t="shared" ref="DO5" si="50">DN5+1</f>
        <v>46424</v>
      </c>
      <c r="DP5" s="53">
        <f t="shared" ref="DP5" si="51">DO5+1</f>
        <v>46425</v>
      </c>
      <c r="DQ5" s="51">
        <f t="shared" ref="DQ5" si="52">DP5+1</f>
        <v>46426</v>
      </c>
      <c r="DR5" s="52">
        <f t="shared" ref="DR5" si="53">DQ5+1</f>
        <v>46427</v>
      </c>
      <c r="DS5" s="52">
        <f t="shared" ref="DS5" si="54">DR5+1</f>
        <v>46428</v>
      </c>
      <c r="DT5" s="52">
        <f t="shared" ref="DT5" si="55">DS5+1</f>
        <v>46429</v>
      </c>
      <c r="DU5" s="52">
        <f t="shared" ref="DU5" si="56">DT5+1</f>
        <v>46430</v>
      </c>
      <c r="DV5" s="52">
        <f t="shared" ref="DV5" si="57">DU5+1</f>
        <v>46431</v>
      </c>
      <c r="DW5" s="53">
        <f t="shared" ref="DW5" si="58">DV5+1</f>
        <v>46432</v>
      </c>
      <c r="DX5" s="51">
        <f t="shared" ref="DX5" si="59">DW5+1</f>
        <v>46433</v>
      </c>
      <c r="DY5" s="52">
        <f t="shared" ref="DY5" si="60">DX5+1</f>
        <v>46434</v>
      </c>
      <c r="DZ5" s="52">
        <f t="shared" ref="DZ5" si="61">DY5+1</f>
        <v>46435</v>
      </c>
      <c r="EA5" s="52">
        <f t="shared" ref="EA5" si="62">DZ5+1</f>
        <v>46436</v>
      </c>
      <c r="EB5" s="52">
        <f t="shared" ref="EB5" si="63">EA5+1</f>
        <v>46437</v>
      </c>
      <c r="EC5" s="52">
        <f t="shared" ref="EC5" si="64">EB5+1</f>
        <v>46438</v>
      </c>
      <c r="ED5" s="53">
        <f t="shared" ref="ED5" si="65">EC5+1</f>
        <v>46439</v>
      </c>
    </row>
    <row r="6" spans="1:134" ht="30" customHeight="1" thickBot="1" x14ac:dyDescent="0.35">
      <c r="A6" s="7" t="s">
        <v>5</v>
      </c>
      <c r="B6" s="24" t="s">
        <v>40</v>
      </c>
      <c r="C6" s="25" t="s">
        <v>35</v>
      </c>
      <c r="D6" s="25" t="s">
        <v>17</v>
      </c>
      <c r="E6" s="25" t="s">
        <v>18</v>
      </c>
      <c r="F6" s="25" t="s">
        <v>19</v>
      </c>
      <c r="G6" s="25"/>
      <c r="H6" s="25" t="s">
        <v>20</v>
      </c>
      <c r="I6" s="26" t="str">
        <f t="shared" ref="I6:AN6" si="66">LEFT(TEXT(I5,"aaa"),1)</f>
        <v>月</v>
      </c>
      <c r="J6" s="26" t="str">
        <f t="shared" si="66"/>
        <v>火</v>
      </c>
      <c r="K6" s="26" t="str">
        <f t="shared" si="66"/>
        <v>水</v>
      </c>
      <c r="L6" s="26" t="str">
        <f t="shared" si="66"/>
        <v>木</v>
      </c>
      <c r="M6" s="26" t="str">
        <f t="shared" si="66"/>
        <v>金</v>
      </c>
      <c r="N6" s="26" t="str">
        <f t="shared" si="66"/>
        <v>土</v>
      </c>
      <c r="O6" s="26" t="str">
        <f t="shared" si="66"/>
        <v>日</v>
      </c>
      <c r="P6" s="26" t="str">
        <f t="shared" si="66"/>
        <v>月</v>
      </c>
      <c r="Q6" s="26" t="str">
        <f t="shared" si="66"/>
        <v>火</v>
      </c>
      <c r="R6" s="26" t="str">
        <f t="shared" si="66"/>
        <v>水</v>
      </c>
      <c r="S6" s="26" t="str">
        <f t="shared" si="66"/>
        <v>木</v>
      </c>
      <c r="T6" s="26" t="str">
        <f t="shared" si="66"/>
        <v>金</v>
      </c>
      <c r="U6" s="26" t="str">
        <f t="shared" si="66"/>
        <v>土</v>
      </c>
      <c r="V6" s="26" t="str">
        <f t="shared" si="66"/>
        <v>日</v>
      </c>
      <c r="W6" s="26" t="str">
        <f t="shared" si="66"/>
        <v>月</v>
      </c>
      <c r="X6" s="26" t="str">
        <f t="shared" si="66"/>
        <v>火</v>
      </c>
      <c r="Y6" s="26" t="str">
        <f t="shared" si="66"/>
        <v>水</v>
      </c>
      <c r="Z6" s="26" t="str">
        <f t="shared" si="66"/>
        <v>木</v>
      </c>
      <c r="AA6" s="26" t="str">
        <f t="shared" si="66"/>
        <v>金</v>
      </c>
      <c r="AB6" s="26" t="str">
        <f t="shared" si="66"/>
        <v>土</v>
      </c>
      <c r="AC6" s="26" t="str">
        <f t="shared" si="66"/>
        <v>日</v>
      </c>
      <c r="AD6" s="26" t="str">
        <f t="shared" si="66"/>
        <v>月</v>
      </c>
      <c r="AE6" s="26" t="str">
        <f t="shared" si="66"/>
        <v>火</v>
      </c>
      <c r="AF6" s="26" t="str">
        <f t="shared" si="66"/>
        <v>水</v>
      </c>
      <c r="AG6" s="26" t="str">
        <f t="shared" si="66"/>
        <v>木</v>
      </c>
      <c r="AH6" s="26" t="str">
        <f t="shared" si="66"/>
        <v>金</v>
      </c>
      <c r="AI6" s="26" t="str">
        <f t="shared" si="66"/>
        <v>土</v>
      </c>
      <c r="AJ6" s="26" t="str">
        <f t="shared" si="66"/>
        <v>日</v>
      </c>
      <c r="AK6" s="26" t="str">
        <f t="shared" si="66"/>
        <v>月</v>
      </c>
      <c r="AL6" s="26" t="str">
        <f t="shared" si="66"/>
        <v>火</v>
      </c>
      <c r="AM6" s="26" t="str">
        <f t="shared" si="66"/>
        <v>水</v>
      </c>
      <c r="AN6" s="26" t="str">
        <f t="shared" si="66"/>
        <v>木</v>
      </c>
      <c r="AO6" s="26" t="str">
        <f t="shared" ref="AO6:BL6" si="67">LEFT(TEXT(AO5,"aaa"),1)</f>
        <v>金</v>
      </c>
      <c r="AP6" s="26" t="str">
        <f t="shared" si="67"/>
        <v>土</v>
      </c>
      <c r="AQ6" s="26" t="str">
        <f t="shared" si="67"/>
        <v>日</v>
      </c>
      <c r="AR6" s="26" t="str">
        <f t="shared" si="67"/>
        <v>月</v>
      </c>
      <c r="AS6" s="26" t="str">
        <f t="shared" si="67"/>
        <v>火</v>
      </c>
      <c r="AT6" s="26" t="str">
        <f t="shared" si="67"/>
        <v>水</v>
      </c>
      <c r="AU6" s="26" t="str">
        <f t="shared" si="67"/>
        <v>木</v>
      </c>
      <c r="AV6" s="26" t="str">
        <f t="shared" si="67"/>
        <v>金</v>
      </c>
      <c r="AW6" s="26" t="str">
        <f t="shared" si="67"/>
        <v>土</v>
      </c>
      <c r="AX6" s="26" t="str">
        <f t="shared" si="67"/>
        <v>日</v>
      </c>
      <c r="AY6" s="26" t="str">
        <f t="shared" si="67"/>
        <v>月</v>
      </c>
      <c r="AZ6" s="26" t="str">
        <f t="shared" si="67"/>
        <v>火</v>
      </c>
      <c r="BA6" s="26" t="str">
        <f t="shared" si="67"/>
        <v>水</v>
      </c>
      <c r="BB6" s="26" t="str">
        <f t="shared" si="67"/>
        <v>木</v>
      </c>
      <c r="BC6" s="26" t="str">
        <f t="shared" si="67"/>
        <v>金</v>
      </c>
      <c r="BD6" s="26" t="str">
        <f t="shared" si="67"/>
        <v>土</v>
      </c>
      <c r="BE6" s="26" t="str">
        <f t="shared" si="67"/>
        <v>日</v>
      </c>
      <c r="BF6" s="26" t="str">
        <f t="shared" si="67"/>
        <v>月</v>
      </c>
      <c r="BG6" s="26" t="str">
        <f t="shared" si="67"/>
        <v>火</v>
      </c>
      <c r="BH6" s="26" t="str">
        <f t="shared" si="67"/>
        <v>水</v>
      </c>
      <c r="BI6" s="26" t="str">
        <f t="shared" si="67"/>
        <v>木</v>
      </c>
      <c r="BJ6" s="26" t="str">
        <f t="shared" si="67"/>
        <v>金</v>
      </c>
      <c r="BK6" s="26" t="str">
        <f t="shared" si="67"/>
        <v>土</v>
      </c>
      <c r="BL6" s="26" t="str">
        <f t="shared" si="67"/>
        <v>日</v>
      </c>
      <c r="BM6" s="26" t="str">
        <f t="shared" ref="BM6:BZ6" si="68">LEFT(TEXT(BM5,"aaa"),1)</f>
        <v>月</v>
      </c>
      <c r="BN6" s="26" t="str">
        <f t="shared" si="68"/>
        <v>火</v>
      </c>
      <c r="BO6" s="26" t="str">
        <f t="shared" si="68"/>
        <v>水</v>
      </c>
      <c r="BP6" s="26" t="str">
        <f t="shared" si="68"/>
        <v>木</v>
      </c>
      <c r="BQ6" s="26" t="str">
        <f t="shared" si="68"/>
        <v>金</v>
      </c>
      <c r="BR6" s="26" t="str">
        <f t="shared" si="68"/>
        <v>土</v>
      </c>
      <c r="BS6" s="26" t="str">
        <f t="shared" si="68"/>
        <v>日</v>
      </c>
      <c r="BT6" s="26" t="str">
        <f t="shared" si="68"/>
        <v>月</v>
      </c>
      <c r="BU6" s="26" t="str">
        <f t="shared" si="68"/>
        <v>火</v>
      </c>
      <c r="BV6" s="26" t="str">
        <f t="shared" si="68"/>
        <v>水</v>
      </c>
      <c r="BW6" s="26" t="str">
        <f t="shared" si="68"/>
        <v>木</v>
      </c>
      <c r="BX6" s="26" t="str">
        <f t="shared" si="68"/>
        <v>金</v>
      </c>
      <c r="BY6" s="26" t="str">
        <f t="shared" si="68"/>
        <v>土</v>
      </c>
      <c r="BZ6" s="26" t="str">
        <f t="shared" si="68"/>
        <v>日</v>
      </c>
      <c r="CA6" s="26" t="str">
        <f t="shared" ref="CA6:DP6" si="69">LEFT(TEXT(CA5,"aaa"),1)</f>
        <v>月</v>
      </c>
      <c r="CB6" s="26" t="str">
        <f t="shared" si="69"/>
        <v>火</v>
      </c>
      <c r="CC6" s="26" t="str">
        <f t="shared" si="69"/>
        <v>水</v>
      </c>
      <c r="CD6" s="26" t="str">
        <f t="shared" si="69"/>
        <v>木</v>
      </c>
      <c r="CE6" s="26" t="str">
        <f t="shared" si="69"/>
        <v>金</v>
      </c>
      <c r="CF6" s="26" t="str">
        <f t="shared" si="69"/>
        <v>土</v>
      </c>
      <c r="CG6" s="26" t="str">
        <f t="shared" si="69"/>
        <v>日</v>
      </c>
      <c r="CH6" s="26" t="str">
        <f t="shared" si="69"/>
        <v>月</v>
      </c>
      <c r="CI6" s="26" t="str">
        <f t="shared" si="69"/>
        <v>火</v>
      </c>
      <c r="CJ6" s="26" t="str">
        <f t="shared" si="69"/>
        <v>水</v>
      </c>
      <c r="CK6" s="26" t="str">
        <f t="shared" si="69"/>
        <v>木</v>
      </c>
      <c r="CL6" s="26" t="str">
        <f t="shared" si="69"/>
        <v>金</v>
      </c>
      <c r="CM6" s="26" t="str">
        <f t="shared" si="69"/>
        <v>土</v>
      </c>
      <c r="CN6" s="26" t="str">
        <f t="shared" si="69"/>
        <v>日</v>
      </c>
      <c r="CO6" s="26" t="str">
        <f t="shared" si="69"/>
        <v>月</v>
      </c>
      <c r="CP6" s="26" t="str">
        <f t="shared" si="69"/>
        <v>火</v>
      </c>
      <c r="CQ6" s="26" t="str">
        <f t="shared" si="69"/>
        <v>水</v>
      </c>
      <c r="CR6" s="26" t="str">
        <f t="shared" si="69"/>
        <v>木</v>
      </c>
      <c r="CS6" s="26" t="str">
        <f t="shared" si="69"/>
        <v>金</v>
      </c>
      <c r="CT6" s="26" t="str">
        <f t="shared" si="69"/>
        <v>土</v>
      </c>
      <c r="CU6" s="26" t="str">
        <f t="shared" si="69"/>
        <v>日</v>
      </c>
      <c r="CV6" s="26" t="str">
        <f t="shared" si="69"/>
        <v>月</v>
      </c>
      <c r="CW6" s="26" t="str">
        <f t="shared" si="69"/>
        <v>火</v>
      </c>
      <c r="CX6" s="26" t="str">
        <f t="shared" si="69"/>
        <v>水</v>
      </c>
      <c r="CY6" s="26" t="str">
        <f t="shared" si="69"/>
        <v>木</v>
      </c>
      <c r="CZ6" s="26" t="str">
        <f t="shared" si="69"/>
        <v>金</v>
      </c>
      <c r="DA6" s="26" t="str">
        <f t="shared" si="69"/>
        <v>土</v>
      </c>
      <c r="DB6" s="26" t="str">
        <f t="shared" si="69"/>
        <v>日</v>
      </c>
      <c r="DC6" s="26" t="str">
        <f t="shared" si="69"/>
        <v>月</v>
      </c>
      <c r="DD6" s="26" t="str">
        <f t="shared" si="69"/>
        <v>火</v>
      </c>
      <c r="DE6" s="26" t="str">
        <f t="shared" si="69"/>
        <v>水</v>
      </c>
      <c r="DF6" s="26" t="str">
        <f t="shared" si="69"/>
        <v>木</v>
      </c>
      <c r="DG6" s="26" t="str">
        <f t="shared" si="69"/>
        <v>金</v>
      </c>
      <c r="DH6" s="26" t="str">
        <f t="shared" si="69"/>
        <v>土</v>
      </c>
      <c r="DI6" s="26" t="str">
        <f t="shared" si="69"/>
        <v>日</v>
      </c>
      <c r="DJ6" s="26" t="str">
        <f t="shared" si="69"/>
        <v>月</v>
      </c>
      <c r="DK6" s="26" t="str">
        <f t="shared" si="69"/>
        <v>火</v>
      </c>
      <c r="DL6" s="26" t="str">
        <f t="shared" si="69"/>
        <v>水</v>
      </c>
      <c r="DM6" s="26" t="str">
        <f t="shared" si="69"/>
        <v>木</v>
      </c>
      <c r="DN6" s="26" t="str">
        <f t="shared" si="69"/>
        <v>金</v>
      </c>
      <c r="DO6" s="26" t="str">
        <f t="shared" si="69"/>
        <v>土</v>
      </c>
      <c r="DP6" s="26" t="str">
        <f t="shared" si="69"/>
        <v>日</v>
      </c>
      <c r="DQ6" s="26" t="str">
        <f t="shared" ref="DQ6:ED6" si="70">LEFT(TEXT(DQ5,"aaa"),1)</f>
        <v>月</v>
      </c>
      <c r="DR6" s="26" t="str">
        <f t="shared" si="70"/>
        <v>火</v>
      </c>
      <c r="DS6" s="26" t="str">
        <f t="shared" si="70"/>
        <v>水</v>
      </c>
      <c r="DT6" s="26" t="str">
        <f t="shared" si="70"/>
        <v>木</v>
      </c>
      <c r="DU6" s="26" t="str">
        <f t="shared" si="70"/>
        <v>金</v>
      </c>
      <c r="DV6" s="26" t="str">
        <f t="shared" si="70"/>
        <v>土</v>
      </c>
      <c r="DW6" s="26" t="str">
        <f t="shared" si="70"/>
        <v>日</v>
      </c>
      <c r="DX6" s="26" t="str">
        <f t="shared" si="70"/>
        <v>月</v>
      </c>
      <c r="DY6" s="26" t="str">
        <f t="shared" si="70"/>
        <v>火</v>
      </c>
      <c r="DZ6" s="26" t="str">
        <f t="shared" si="70"/>
        <v>水</v>
      </c>
      <c r="EA6" s="26" t="str">
        <f t="shared" si="70"/>
        <v>木</v>
      </c>
      <c r="EB6" s="26" t="str">
        <f t="shared" si="70"/>
        <v>金</v>
      </c>
      <c r="EC6" s="26" t="str">
        <f t="shared" si="70"/>
        <v>土</v>
      </c>
      <c r="ED6" s="26" t="str">
        <f t="shared" si="70"/>
        <v>日</v>
      </c>
    </row>
    <row r="7" spans="1:134" ht="30" hidden="1" customHeight="1" thickBot="1" x14ac:dyDescent="0.35">
      <c r="A7" s="6" t="s">
        <v>6</v>
      </c>
      <c r="C7" s="8"/>
      <c r="E7"/>
      <c r="H7" t="str">
        <f>IF(OR(ISBLANK(タスク_開始),ISBLANK(タスク_終了)),"",タスク_終了-タスク_開始+1)</f>
        <v/>
      </c>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row>
    <row r="8" spans="1:134" s="1" customFormat="1" ht="30" customHeight="1" thickBot="1" x14ac:dyDescent="0.35">
      <c r="A8" s="7" t="s">
        <v>7</v>
      </c>
      <c r="B8" s="61" t="s">
        <v>39</v>
      </c>
      <c r="C8" s="58" t="s">
        <v>38</v>
      </c>
      <c r="D8" s="59"/>
      <c r="E8" s="60"/>
      <c r="F8" s="60"/>
      <c r="G8" s="29"/>
      <c r="H8" s="29" t="str">
        <f t="shared" ref="H8:H24" si="71">IF(OR(ISBLANK(タスク_開始),ISBLANK(タスク_終了)),"",タスク_終了-タスク_開始+1)</f>
        <v/>
      </c>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row>
    <row r="9" spans="1:134" s="1" customFormat="1" ht="30" customHeight="1" thickBot="1" x14ac:dyDescent="0.35">
      <c r="A9" s="7"/>
      <c r="B9" s="57" t="s">
        <v>41</v>
      </c>
      <c r="C9" s="54" t="s">
        <v>38</v>
      </c>
      <c r="D9" s="55"/>
      <c r="E9" s="56"/>
      <c r="F9" s="56"/>
      <c r="G9" s="29"/>
      <c r="H9" s="29"/>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row>
    <row r="10" spans="1:134" s="1" customFormat="1" ht="30" customHeight="1" thickBot="1" x14ac:dyDescent="0.35">
      <c r="A10" s="7"/>
      <c r="B10" s="27" t="s">
        <v>42</v>
      </c>
      <c r="C10" s="12" t="s">
        <v>38</v>
      </c>
      <c r="D10" s="28"/>
      <c r="E10" s="47"/>
      <c r="F10" s="48"/>
      <c r="G10" s="29"/>
      <c r="H10" s="29"/>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row>
    <row r="11" spans="1:134" s="1" customFormat="1" ht="30" customHeight="1" thickBot="1" x14ac:dyDescent="0.35">
      <c r="A11" s="7" t="s">
        <v>8</v>
      </c>
      <c r="B11" s="15" t="s">
        <v>43</v>
      </c>
      <c r="C11" s="13" t="s">
        <v>38</v>
      </c>
      <c r="D11" s="30">
        <v>0.5</v>
      </c>
      <c r="E11" s="49">
        <f>プロジェクトの開始</f>
        <v>46314</v>
      </c>
      <c r="F11" s="49">
        <f>E11</f>
        <v>46314</v>
      </c>
      <c r="G11" s="29"/>
      <c r="H11" s="29">
        <f t="shared" si="71"/>
        <v>1</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row>
    <row r="12" spans="1:134" s="1" customFormat="1" ht="30" customHeight="1" thickBot="1" x14ac:dyDescent="0.35">
      <c r="A12" s="7" t="s">
        <v>9</v>
      </c>
      <c r="B12" s="15" t="s">
        <v>44</v>
      </c>
      <c r="C12" s="13" t="s">
        <v>38</v>
      </c>
      <c r="D12" s="30">
        <v>0.5</v>
      </c>
      <c r="E12" s="49">
        <f>F11</f>
        <v>46314</v>
      </c>
      <c r="F12" s="49">
        <f>E12</f>
        <v>46314</v>
      </c>
      <c r="G12" s="29"/>
      <c r="H12" s="29">
        <f t="shared" si="71"/>
        <v>1</v>
      </c>
      <c r="I12" s="4"/>
      <c r="J12" s="4"/>
      <c r="K12" s="4"/>
      <c r="L12" s="4"/>
      <c r="M12" s="4"/>
      <c r="N12" s="4"/>
      <c r="O12" s="4"/>
      <c r="P12" s="4"/>
      <c r="Q12" s="4"/>
      <c r="R12" s="4"/>
      <c r="S12" s="4"/>
      <c r="T12" s="4"/>
      <c r="U12" s="5"/>
      <c r="V12" s="5"/>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row>
    <row r="13" spans="1:134" s="1" customFormat="1" ht="30" customHeight="1" thickBot="1" x14ac:dyDescent="0.35">
      <c r="A13" s="6"/>
      <c r="B13" s="15" t="s">
        <v>45</v>
      </c>
      <c r="C13" s="13" t="s">
        <v>38</v>
      </c>
      <c r="D13" s="30">
        <v>0.5</v>
      </c>
      <c r="E13" s="49">
        <f>F12</f>
        <v>46314</v>
      </c>
      <c r="F13" s="49">
        <f>E13</f>
        <v>46314</v>
      </c>
      <c r="G13" s="29"/>
      <c r="H13" s="29">
        <f t="shared" si="71"/>
        <v>1</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row>
    <row r="14" spans="1:134" s="1" customFormat="1" ht="30" customHeight="1" thickBot="1" x14ac:dyDescent="0.35">
      <c r="A14" s="6"/>
      <c r="B14" s="27" t="s">
        <v>46</v>
      </c>
      <c r="C14" s="12" t="s">
        <v>38</v>
      </c>
      <c r="D14" s="28"/>
      <c r="E14" s="47"/>
      <c r="F14" s="48"/>
      <c r="G14" s="29"/>
      <c r="H14" s="29"/>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row>
    <row r="15" spans="1:134" s="1" customFormat="1" ht="30" customHeight="1" thickBot="1" x14ac:dyDescent="0.35">
      <c r="A15" s="7" t="s">
        <v>10</v>
      </c>
      <c r="B15" s="15" t="s">
        <v>47</v>
      </c>
      <c r="C15" s="13" t="s">
        <v>38</v>
      </c>
      <c r="D15" s="30">
        <v>1</v>
      </c>
      <c r="E15" s="49">
        <f>プロジェクトの開始</f>
        <v>46314</v>
      </c>
      <c r="F15" s="49">
        <f>E15</f>
        <v>46314</v>
      </c>
      <c r="G15" s="29"/>
      <c r="H15" s="29">
        <f t="shared" si="71"/>
        <v>1</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row>
    <row r="16" spans="1:134" s="1" customFormat="1" ht="30" customHeight="1" thickBot="1" x14ac:dyDescent="0.35">
      <c r="A16" s="7"/>
      <c r="B16" s="15" t="s">
        <v>48</v>
      </c>
      <c r="C16" s="13" t="s">
        <v>38</v>
      </c>
      <c r="D16" s="30">
        <v>1</v>
      </c>
      <c r="E16" s="49">
        <f>F15</f>
        <v>46314</v>
      </c>
      <c r="F16" s="49">
        <f>E16</f>
        <v>46314</v>
      </c>
      <c r="G16" s="29"/>
      <c r="H16" s="29">
        <f t="shared" si="71"/>
        <v>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row>
    <row r="17" spans="1:134" s="1" customFormat="1" ht="30" customHeight="1" thickBot="1" x14ac:dyDescent="0.35">
      <c r="A17" s="6" t="s">
        <v>11</v>
      </c>
      <c r="B17" s="27" t="s">
        <v>49</v>
      </c>
      <c r="C17" s="12" t="s">
        <v>38</v>
      </c>
      <c r="D17" s="28"/>
      <c r="E17" s="47"/>
      <c r="F17" s="48"/>
      <c r="G17" s="29"/>
      <c r="H17" s="29" t="str">
        <f t="shared" si="71"/>
        <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row>
    <row r="18" spans="1:134" s="1" customFormat="1" ht="30" customHeight="1" thickBot="1" x14ac:dyDescent="0.35">
      <c r="A18" s="6"/>
      <c r="B18" s="15" t="s">
        <v>50</v>
      </c>
      <c r="C18" s="13" t="s">
        <v>38</v>
      </c>
      <c r="D18" s="30">
        <v>0.8</v>
      </c>
      <c r="E18" s="49">
        <f>F16+1</f>
        <v>46315</v>
      </c>
      <c r="F18" s="49">
        <f>E18+1</f>
        <v>46316</v>
      </c>
      <c r="G18" s="29"/>
      <c r="H18" s="29">
        <f t="shared" si="71"/>
        <v>2</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row>
    <row r="19" spans="1:134" s="1" customFormat="1" ht="30" customHeight="1" thickBot="1" x14ac:dyDescent="0.35">
      <c r="A19" s="6" t="s">
        <v>11</v>
      </c>
      <c r="B19" s="27" t="s">
        <v>51</v>
      </c>
      <c r="C19" s="12" t="s">
        <v>38</v>
      </c>
      <c r="D19" s="28"/>
      <c r="E19" s="47"/>
      <c r="F19" s="48"/>
      <c r="G19" s="29"/>
      <c r="H19" s="29" t="str">
        <f t="shared" si="71"/>
        <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row>
    <row r="20" spans="1:134" s="1" customFormat="1" ht="30" customHeight="1" thickBot="1" x14ac:dyDescent="0.35">
      <c r="A20" s="6"/>
      <c r="B20" s="15" t="s">
        <v>52</v>
      </c>
      <c r="C20" s="13" t="s">
        <v>38</v>
      </c>
      <c r="D20" s="30">
        <v>0.5</v>
      </c>
      <c r="E20" s="49">
        <f>F18</f>
        <v>46316</v>
      </c>
      <c r="F20" s="49">
        <f>E20</f>
        <v>46316</v>
      </c>
      <c r="G20" s="29"/>
      <c r="H20" s="29">
        <f t="shared" si="71"/>
        <v>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row>
    <row r="21" spans="1:134" s="1" customFormat="1" ht="30" customHeight="1" thickBot="1" x14ac:dyDescent="0.35">
      <c r="A21" s="6"/>
      <c r="B21" s="15" t="s">
        <v>53</v>
      </c>
      <c r="C21" s="13" t="s">
        <v>38</v>
      </c>
      <c r="D21" s="30">
        <v>0.5</v>
      </c>
      <c r="E21" s="49">
        <f>F20</f>
        <v>46316</v>
      </c>
      <c r="F21" s="49">
        <f>E21</f>
        <v>46316</v>
      </c>
      <c r="G21" s="29"/>
      <c r="H21" s="29">
        <f t="shared" si="71"/>
        <v>1</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row>
    <row r="22" spans="1:134" s="1" customFormat="1" ht="30" customHeight="1" thickBot="1" x14ac:dyDescent="0.35">
      <c r="A22" s="6"/>
      <c r="B22" s="62" t="s">
        <v>54</v>
      </c>
      <c r="C22" s="13" t="s">
        <v>38</v>
      </c>
      <c r="D22" s="30">
        <v>0.8</v>
      </c>
      <c r="E22" s="49">
        <f>F20</f>
        <v>46316</v>
      </c>
      <c r="F22" s="49">
        <f>E22+1</f>
        <v>46317</v>
      </c>
      <c r="G22" s="29"/>
      <c r="H22" s="29">
        <f t="shared" si="71"/>
        <v>2</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row>
    <row r="23" spans="1:134" s="1" customFormat="1" ht="30" customHeight="1" thickBot="1" x14ac:dyDescent="0.35">
      <c r="A23" s="6"/>
      <c r="B23" s="77" t="s">
        <v>245</v>
      </c>
      <c r="C23" s="13" t="s">
        <v>38</v>
      </c>
      <c r="D23" s="30">
        <v>0</v>
      </c>
      <c r="E23" s="49">
        <f>F21</f>
        <v>46316</v>
      </c>
      <c r="F23" s="49">
        <f>E23+1</f>
        <v>46317</v>
      </c>
      <c r="G23" s="29"/>
      <c r="H23" s="29">
        <f t="shared" si="71"/>
        <v>2</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row>
    <row r="24" spans="1:134" s="1" customFormat="1" ht="30" customHeight="1" thickBot="1" x14ac:dyDescent="0.35">
      <c r="A24" s="6"/>
      <c r="B24" s="15" t="s">
        <v>55</v>
      </c>
      <c r="C24" s="13" t="s">
        <v>38</v>
      </c>
      <c r="D24" s="30">
        <v>0</v>
      </c>
      <c r="E24" s="49">
        <f>E23</f>
        <v>46316</v>
      </c>
      <c r="F24" s="49">
        <f>E24+1</f>
        <v>46317</v>
      </c>
      <c r="G24" s="29"/>
      <c r="H24" s="29">
        <f t="shared" si="71"/>
        <v>2</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row>
    <row r="25" spans="1:134" s="1" customFormat="1" ht="30" customHeight="1" thickBot="1" x14ac:dyDescent="0.35">
      <c r="A25" s="6" t="s">
        <v>12</v>
      </c>
      <c r="B25" s="27" t="s">
        <v>56</v>
      </c>
      <c r="C25" s="12" t="s">
        <v>38</v>
      </c>
      <c r="D25" s="28"/>
      <c r="E25" s="47"/>
      <c r="F25" s="48"/>
      <c r="G25" s="29"/>
      <c r="H25" s="29" t="str">
        <f t="shared" ref="H25:H56" si="72">IF(OR(ISBLANK(タスク_開始),ISBLANK(タスク_終了)),"",タスク_終了-タスク_開始+1)</f>
        <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row>
    <row r="26" spans="1:134" ht="30" customHeight="1" thickBot="1" x14ac:dyDescent="0.35">
      <c r="B26" s="15" t="s">
        <v>57</v>
      </c>
      <c r="C26" s="13" t="s">
        <v>38</v>
      </c>
      <c r="D26" s="30">
        <v>0</v>
      </c>
      <c r="E26" s="49">
        <f>F24</f>
        <v>46317</v>
      </c>
      <c r="F26" s="49">
        <f>E26+4</f>
        <v>46321</v>
      </c>
      <c r="G26" s="29"/>
      <c r="H26" s="29">
        <f t="shared" si="72"/>
        <v>5</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row>
    <row r="27" spans="1:134" ht="30" customHeight="1" thickBot="1" x14ac:dyDescent="0.35">
      <c r="B27" s="57" t="s">
        <v>59</v>
      </c>
      <c r="C27" s="54" t="s">
        <v>38</v>
      </c>
      <c r="D27" s="55"/>
      <c r="E27" s="56"/>
      <c r="F27" s="56"/>
      <c r="G27" s="29"/>
      <c r="H27" s="29" t="str">
        <f t="shared" si="72"/>
        <v/>
      </c>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row>
    <row r="28" spans="1:134" ht="30" customHeight="1" thickBot="1" x14ac:dyDescent="0.35">
      <c r="B28" s="27" t="s">
        <v>69</v>
      </c>
      <c r="C28" s="12" t="s">
        <v>38</v>
      </c>
      <c r="D28" s="28"/>
      <c r="E28" s="47"/>
      <c r="F28" s="48"/>
      <c r="G28" s="29"/>
      <c r="H28" s="29" t="str">
        <f t="shared" si="72"/>
        <v/>
      </c>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row>
    <row r="29" spans="1:134" ht="30" customHeight="1" thickBot="1" x14ac:dyDescent="0.35">
      <c r="B29" s="62" t="s">
        <v>60</v>
      </c>
      <c r="C29" s="13" t="s">
        <v>38</v>
      </c>
      <c r="D29" s="30">
        <v>0</v>
      </c>
      <c r="E29" s="49">
        <f>F26</f>
        <v>46321</v>
      </c>
      <c r="F29" s="49">
        <f>E29</f>
        <v>46321</v>
      </c>
      <c r="G29" s="29"/>
      <c r="H29" s="29">
        <f t="shared" si="72"/>
        <v>1</v>
      </c>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row>
    <row r="30" spans="1:134" ht="30" customHeight="1" thickBot="1" x14ac:dyDescent="0.35">
      <c r="B30" s="15" t="s">
        <v>43</v>
      </c>
      <c r="C30" s="13" t="s">
        <v>38</v>
      </c>
      <c r="D30" s="30">
        <v>0</v>
      </c>
      <c r="E30" s="49">
        <f>F29</f>
        <v>46321</v>
      </c>
      <c r="F30" s="49">
        <f>E30+1</f>
        <v>46322</v>
      </c>
      <c r="G30" s="29"/>
      <c r="H30" s="29">
        <f t="shared" si="72"/>
        <v>2</v>
      </c>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row>
    <row r="31" spans="1:134" ht="30" customHeight="1" thickBot="1" x14ac:dyDescent="0.35">
      <c r="B31" s="62" t="s">
        <v>61</v>
      </c>
      <c r="C31" s="13" t="s">
        <v>38</v>
      </c>
      <c r="D31" s="30">
        <v>0</v>
      </c>
      <c r="E31" s="49">
        <f>E30</f>
        <v>46321</v>
      </c>
      <c r="F31" s="49">
        <f>E31+1</f>
        <v>46322</v>
      </c>
      <c r="G31" s="29"/>
      <c r="H31" s="29">
        <f t="shared" si="72"/>
        <v>2</v>
      </c>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row>
    <row r="32" spans="1:134" ht="30" customHeight="1" thickBot="1" x14ac:dyDescent="0.35">
      <c r="B32" s="62" t="s">
        <v>62</v>
      </c>
      <c r="C32" s="13" t="s">
        <v>38</v>
      </c>
      <c r="D32" s="30">
        <v>0</v>
      </c>
      <c r="E32" s="49">
        <f>F31</f>
        <v>46322</v>
      </c>
      <c r="F32" s="49">
        <f>E32+2</f>
        <v>46324</v>
      </c>
      <c r="G32" s="29"/>
      <c r="H32" s="29">
        <f t="shared" si="72"/>
        <v>3</v>
      </c>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row>
    <row r="33" spans="2:134" ht="30" customHeight="1" thickBot="1" x14ac:dyDescent="0.35">
      <c r="B33" s="62" t="s">
        <v>63</v>
      </c>
      <c r="C33" s="13" t="s">
        <v>38</v>
      </c>
      <c r="D33" s="30">
        <v>0</v>
      </c>
      <c r="E33" s="49">
        <f>E32</f>
        <v>46322</v>
      </c>
      <c r="F33" s="49">
        <f>E33+2</f>
        <v>46324</v>
      </c>
      <c r="G33" s="29"/>
      <c r="H33" s="29">
        <f t="shared" si="72"/>
        <v>3</v>
      </c>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row>
    <row r="34" spans="2:134" ht="30" customHeight="1" thickBot="1" x14ac:dyDescent="0.35">
      <c r="B34" s="57" t="s">
        <v>64</v>
      </c>
      <c r="C34" s="54" t="s">
        <v>38</v>
      </c>
      <c r="D34" s="55"/>
      <c r="E34" s="56"/>
      <c r="F34" s="56"/>
      <c r="G34" s="29"/>
      <c r="H34" s="29" t="str">
        <f t="shared" si="72"/>
        <v/>
      </c>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row>
    <row r="35" spans="2:134" ht="30" customHeight="1" thickBot="1" x14ac:dyDescent="0.35">
      <c r="B35" s="27" t="s">
        <v>72</v>
      </c>
      <c r="C35" s="12" t="s">
        <v>38</v>
      </c>
      <c r="D35" s="28"/>
      <c r="E35" s="47"/>
      <c r="F35" s="48"/>
      <c r="G35" s="29"/>
      <c r="H35" s="29" t="str">
        <f t="shared" si="72"/>
        <v/>
      </c>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row>
    <row r="36" spans="2:134" ht="30" customHeight="1" thickBot="1" x14ac:dyDescent="0.35">
      <c r="B36" s="62" t="s">
        <v>67</v>
      </c>
      <c r="C36" s="13" t="s">
        <v>38</v>
      </c>
      <c r="D36" s="30">
        <v>0</v>
      </c>
      <c r="E36" s="49">
        <f>F33</f>
        <v>46324</v>
      </c>
      <c r="F36" s="49">
        <f>E36</f>
        <v>46324</v>
      </c>
      <c r="G36" s="29"/>
      <c r="H36" s="29">
        <f t="shared" si="72"/>
        <v>1</v>
      </c>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row>
    <row r="37" spans="2:134" ht="30" customHeight="1" thickBot="1" x14ac:dyDescent="0.35">
      <c r="B37" s="27" t="s">
        <v>70</v>
      </c>
      <c r="C37" s="12" t="s">
        <v>38</v>
      </c>
      <c r="D37" s="28"/>
      <c r="E37" s="47"/>
      <c r="F37" s="48"/>
      <c r="G37" s="29"/>
      <c r="H37" s="29" t="str">
        <f t="shared" si="72"/>
        <v/>
      </c>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row>
    <row r="38" spans="2:134" ht="30" customHeight="1" thickBot="1" x14ac:dyDescent="0.35">
      <c r="B38" s="62" t="s">
        <v>65</v>
      </c>
      <c r="C38" s="13" t="s">
        <v>38</v>
      </c>
      <c r="D38" s="30">
        <v>0</v>
      </c>
      <c r="E38" s="49">
        <f>F95</f>
        <v>46346</v>
      </c>
      <c r="F38" s="49">
        <f>E38</f>
        <v>46346</v>
      </c>
      <c r="G38" s="29"/>
      <c r="H38" s="29">
        <f t="shared" si="72"/>
        <v>1</v>
      </c>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row>
    <row r="39" spans="2:134" ht="30" customHeight="1" thickBot="1" x14ac:dyDescent="0.35">
      <c r="B39" s="27" t="s">
        <v>71</v>
      </c>
      <c r="C39" s="12" t="s">
        <v>38</v>
      </c>
      <c r="D39" s="28"/>
      <c r="E39" s="47"/>
      <c r="F39" s="48"/>
      <c r="G39" s="29"/>
      <c r="H39" s="29" t="str">
        <f t="shared" si="72"/>
        <v/>
      </c>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row>
    <row r="40" spans="2:134" ht="30" customHeight="1" thickBot="1" x14ac:dyDescent="0.35">
      <c r="B40" s="15" t="s">
        <v>66</v>
      </c>
      <c r="C40" s="13" t="s">
        <v>38</v>
      </c>
      <c r="D40" s="30">
        <v>0</v>
      </c>
      <c r="E40" s="49">
        <f>F38</f>
        <v>46346</v>
      </c>
      <c r="F40" s="49">
        <f>E40</f>
        <v>46346</v>
      </c>
      <c r="G40" s="29"/>
      <c r="H40" s="29">
        <f t="shared" si="72"/>
        <v>1</v>
      </c>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row>
    <row r="41" spans="2:134" ht="30" customHeight="1" thickBot="1" x14ac:dyDescent="0.35">
      <c r="B41" s="27" t="s">
        <v>73</v>
      </c>
      <c r="C41" s="12" t="s">
        <v>38</v>
      </c>
      <c r="D41" s="28"/>
      <c r="E41" s="47"/>
      <c r="F41" s="48"/>
      <c r="G41" s="29"/>
      <c r="H41" s="29" t="str">
        <f t="shared" si="72"/>
        <v/>
      </c>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row>
    <row r="42" spans="2:134" ht="30" customHeight="1" thickBot="1" x14ac:dyDescent="0.35">
      <c r="B42" s="62" t="s">
        <v>68</v>
      </c>
      <c r="C42" s="13" t="s">
        <v>38</v>
      </c>
      <c r="D42" s="30">
        <v>0</v>
      </c>
      <c r="E42" s="49">
        <f>F40+1</f>
        <v>46347</v>
      </c>
      <c r="F42" s="49">
        <f>E42+1</f>
        <v>46348</v>
      </c>
      <c r="G42" s="29"/>
      <c r="H42" s="29">
        <f t="shared" si="72"/>
        <v>2</v>
      </c>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row>
    <row r="43" spans="2:134" ht="30" customHeight="1" thickBot="1" x14ac:dyDescent="0.35">
      <c r="B43" s="27" t="s">
        <v>58</v>
      </c>
      <c r="C43" s="12" t="s">
        <v>38</v>
      </c>
      <c r="D43" s="28"/>
      <c r="E43" s="47"/>
      <c r="F43" s="48"/>
      <c r="G43" s="29"/>
      <c r="H43" s="29" t="str">
        <f t="shared" si="72"/>
        <v/>
      </c>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row>
    <row r="44" spans="2:134" ht="30" customHeight="1" thickBot="1" x14ac:dyDescent="0.35">
      <c r="B44" s="62" t="s">
        <v>74</v>
      </c>
      <c r="C44" s="13" t="s">
        <v>38</v>
      </c>
      <c r="D44" s="30">
        <v>0</v>
      </c>
      <c r="E44" s="49">
        <f>F42</f>
        <v>46348</v>
      </c>
      <c r="F44" s="49">
        <f>E44</f>
        <v>46348</v>
      </c>
      <c r="G44" s="29"/>
      <c r="H44" s="29">
        <f t="shared" si="72"/>
        <v>1</v>
      </c>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row>
    <row r="45" spans="2:134" ht="30" customHeight="1" thickBot="1" x14ac:dyDescent="0.35">
      <c r="B45" s="62" t="s">
        <v>75</v>
      </c>
      <c r="C45" s="13" t="s">
        <v>38</v>
      </c>
      <c r="D45" s="30">
        <v>0</v>
      </c>
      <c r="E45" s="49">
        <f>F42</f>
        <v>46348</v>
      </c>
      <c r="F45" s="49">
        <f>E45</f>
        <v>46348</v>
      </c>
      <c r="G45" s="29"/>
      <c r="H45" s="29">
        <f t="shared" si="72"/>
        <v>1</v>
      </c>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row>
    <row r="46" spans="2:134" ht="30" customHeight="1" thickBot="1" x14ac:dyDescent="0.35">
      <c r="B46" s="77" t="s">
        <v>226</v>
      </c>
      <c r="C46" s="13" t="s">
        <v>38</v>
      </c>
      <c r="D46" s="30">
        <v>0</v>
      </c>
      <c r="E46" s="49">
        <f>F45</f>
        <v>46348</v>
      </c>
      <c r="F46" s="49">
        <f>E46+1</f>
        <v>46349</v>
      </c>
      <c r="G46" s="29"/>
      <c r="H46" s="29">
        <f t="shared" si="72"/>
        <v>2</v>
      </c>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row>
    <row r="47" spans="2:134" ht="30" customHeight="1" thickBot="1" x14ac:dyDescent="0.35">
      <c r="B47" s="62" t="s">
        <v>76</v>
      </c>
      <c r="C47" s="13" t="s">
        <v>38</v>
      </c>
      <c r="D47" s="30">
        <v>0</v>
      </c>
      <c r="E47" s="49">
        <f>F46</f>
        <v>46349</v>
      </c>
      <c r="F47" s="49">
        <f>E47</f>
        <v>46349</v>
      </c>
      <c r="G47" s="29"/>
      <c r="H47" s="29">
        <f t="shared" si="72"/>
        <v>1</v>
      </c>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row>
    <row r="48" spans="2:134" ht="30" customHeight="1" thickBot="1" x14ac:dyDescent="0.35">
      <c r="B48" s="57" t="s">
        <v>93</v>
      </c>
      <c r="C48" s="54" t="s">
        <v>38</v>
      </c>
      <c r="D48" s="55"/>
      <c r="E48" s="56"/>
      <c r="F48" s="56"/>
      <c r="G48" s="29"/>
      <c r="H48" s="29" t="str">
        <f t="shared" si="72"/>
        <v/>
      </c>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row>
    <row r="49" spans="2:134" ht="30" customHeight="1" thickBot="1" x14ac:dyDescent="0.35">
      <c r="B49" s="27" t="s">
        <v>78</v>
      </c>
      <c r="C49" s="12" t="s">
        <v>38</v>
      </c>
      <c r="D49" s="28"/>
      <c r="E49" s="47"/>
      <c r="F49" s="48"/>
      <c r="G49" s="29"/>
      <c r="H49" s="29" t="str">
        <f t="shared" si="72"/>
        <v/>
      </c>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row>
    <row r="50" spans="2:134" ht="30" customHeight="1" thickBot="1" x14ac:dyDescent="0.35">
      <c r="B50" s="62" t="s">
        <v>52</v>
      </c>
      <c r="C50" s="13" t="s">
        <v>38</v>
      </c>
      <c r="D50" s="30">
        <v>0</v>
      </c>
      <c r="E50" s="49">
        <f>F33</f>
        <v>46324</v>
      </c>
      <c r="F50" s="49">
        <f>E50</f>
        <v>46324</v>
      </c>
      <c r="G50" s="29"/>
      <c r="H50" s="29">
        <f t="shared" si="72"/>
        <v>1</v>
      </c>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row>
    <row r="51" spans="2:134" ht="30" customHeight="1" thickBot="1" x14ac:dyDescent="0.35">
      <c r="B51" s="62" t="s">
        <v>53</v>
      </c>
      <c r="C51" s="13" t="s">
        <v>38</v>
      </c>
      <c r="D51" s="30">
        <v>0</v>
      </c>
      <c r="E51" s="49">
        <f>F50</f>
        <v>46324</v>
      </c>
      <c r="F51" s="49">
        <f>E51</f>
        <v>46324</v>
      </c>
      <c r="G51" s="29"/>
      <c r="H51" s="29">
        <f t="shared" si="72"/>
        <v>1</v>
      </c>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row>
    <row r="52" spans="2:134" ht="30" customHeight="1" thickBot="1" x14ac:dyDescent="0.35">
      <c r="B52" s="77" t="s">
        <v>227</v>
      </c>
      <c r="C52" s="13" t="s">
        <v>38</v>
      </c>
      <c r="D52" s="30">
        <v>0</v>
      </c>
      <c r="E52" s="49">
        <f>F50</f>
        <v>46324</v>
      </c>
      <c r="F52" s="49">
        <f>E52+1</f>
        <v>46325</v>
      </c>
      <c r="G52" s="29"/>
      <c r="H52" s="29">
        <f t="shared" si="72"/>
        <v>2</v>
      </c>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row>
    <row r="53" spans="2:134" ht="30" customHeight="1" thickBot="1" x14ac:dyDescent="0.35">
      <c r="B53" s="77" t="s">
        <v>244</v>
      </c>
      <c r="C53" s="13" t="s">
        <v>38</v>
      </c>
      <c r="D53" s="30">
        <v>0</v>
      </c>
      <c r="E53" s="49">
        <f>F51</f>
        <v>46324</v>
      </c>
      <c r="F53" s="49">
        <f>E53+1</f>
        <v>46325</v>
      </c>
      <c r="G53" s="29"/>
      <c r="H53" s="29">
        <f t="shared" si="72"/>
        <v>2</v>
      </c>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row>
    <row r="54" spans="2:134" ht="30" customHeight="1" thickBot="1" x14ac:dyDescent="0.35">
      <c r="B54" s="62" t="s">
        <v>55</v>
      </c>
      <c r="C54" s="13" t="s">
        <v>38</v>
      </c>
      <c r="D54" s="30">
        <v>0</v>
      </c>
      <c r="E54" s="49">
        <f>F53</f>
        <v>46325</v>
      </c>
      <c r="F54" s="49">
        <f>E54</f>
        <v>46325</v>
      </c>
      <c r="G54" s="29"/>
      <c r="H54" s="29">
        <f t="shared" si="72"/>
        <v>1</v>
      </c>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row>
    <row r="55" spans="2:134" ht="30" customHeight="1" thickBot="1" x14ac:dyDescent="0.35">
      <c r="B55" s="27" t="s">
        <v>79</v>
      </c>
      <c r="C55" s="12" t="s">
        <v>38</v>
      </c>
      <c r="D55" s="28"/>
      <c r="E55" s="47"/>
      <c r="F55" s="48"/>
      <c r="G55" s="29"/>
      <c r="H55" s="29" t="str">
        <f t="shared" si="72"/>
        <v/>
      </c>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row>
    <row r="56" spans="2:134" ht="30" customHeight="1" thickBot="1" x14ac:dyDescent="0.35">
      <c r="B56" s="62" t="s">
        <v>81</v>
      </c>
      <c r="C56" s="13" t="s">
        <v>38</v>
      </c>
      <c r="D56" s="30">
        <v>0</v>
      </c>
      <c r="E56" s="49">
        <f>F54+3</f>
        <v>46328</v>
      </c>
      <c r="F56" s="49">
        <f>E56+2</f>
        <v>46330</v>
      </c>
      <c r="G56" s="29"/>
      <c r="H56" s="29">
        <f t="shared" si="72"/>
        <v>3</v>
      </c>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row>
    <row r="57" spans="2:134" ht="30" customHeight="1" thickBot="1" x14ac:dyDescent="0.35">
      <c r="B57" s="62" t="s">
        <v>80</v>
      </c>
      <c r="C57" s="13" t="s">
        <v>38</v>
      </c>
      <c r="D57" s="30">
        <v>0</v>
      </c>
      <c r="E57" s="49">
        <f>F56</f>
        <v>46330</v>
      </c>
      <c r="F57" s="49">
        <f>E57</f>
        <v>46330</v>
      </c>
      <c r="G57" s="29"/>
      <c r="H57" s="29">
        <f t="shared" ref="H57:H86" si="73">IF(OR(ISBLANK(タスク_開始),ISBLANK(タスク_終了)),"",タスク_終了-タスク_開始+1)</f>
        <v>1</v>
      </c>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row>
    <row r="58" spans="2:134" ht="30" customHeight="1" thickBot="1" x14ac:dyDescent="0.35">
      <c r="B58" s="27" t="s">
        <v>82</v>
      </c>
      <c r="C58" s="12" t="s">
        <v>38</v>
      </c>
      <c r="D58" s="28"/>
      <c r="E58" s="47"/>
      <c r="F58" s="48"/>
      <c r="G58" s="29"/>
      <c r="H58" s="29" t="str">
        <f t="shared" si="73"/>
        <v/>
      </c>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row>
    <row r="59" spans="2:134" ht="30" customHeight="1" thickBot="1" x14ac:dyDescent="0.35">
      <c r="B59" s="62" t="s">
        <v>83</v>
      </c>
      <c r="C59" s="13" t="s">
        <v>38</v>
      </c>
      <c r="D59" s="30">
        <v>0</v>
      </c>
      <c r="E59" s="49">
        <f>F57</f>
        <v>46330</v>
      </c>
      <c r="F59" s="49">
        <f>E59</f>
        <v>46330</v>
      </c>
      <c r="G59" s="29"/>
      <c r="H59" s="29">
        <f t="shared" si="73"/>
        <v>1</v>
      </c>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row>
    <row r="60" spans="2:134" ht="30" customHeight="1" thickBot="1" x14ac:dyDescent="0.35">
      <c r="B60" s="62" t="s">
        <v>84</v>
      </c>
      <c r="C60" s="13" t="s">
        <v>38</v>
      </c>
      <c r="D60" s="30">
        <v>0</v>
      </c>
      <c r="E60" s="49">
        <f>F59</f>
        <v>46330</v>
      </c>
      <c r="F60" s="49">
        <f>E60</f>
        <v>46330</v>
      </c>
      <c r="G60" s="29"/>
      <c r="H60" s="29">
        <f t="shared" si="73"/>
        <v>1</v>
      </c>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row>
    <row r="61" spans="2:134" ht="30" customHeight="1" thickBot="1" x14ac:dyDescent="0.35">
      <c r="B61" s="62" t="s">
        <v>86</v>
      </c>
      <c r="C61" s="13" t="s">
        <v>38</v>
      </c>
      <c r="D61" s="30">
        <v>0</v>
      </c>
      <c r="E61" s="49">
        <f>F59</f>
        <v>46330</v>
      </c>
      <c r="F61" s="49">
        <f>E61+2</f>
        <v>46332</v>
      </c>
      <c r="G61" s="29"/>
      <c r="H61" s="29">
        <f t="shared" si="73"/>
        <v>3</v>
      </c>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row>
    <row r="62" spans="2:134" ht="30" customHeight="1" thickBot="1" x14ac:dyDescent="0.35">
      <c r="B62" s="62" t="s">
        <v>85</v>
      </c>
      <c r="C62" s="13" t="s">
        <v>38</v>
      </c>
      <c r="D62" s="30">
        <v>0</v>
      </c>
      <c r="E62" s="49">
        <f>F59</f>
        <v>46330</v>
      </c>
      <c r="F62" s="49">
        <f>E62+2</f>
        <v>46332</v>
      </c>
      <c r="G62" s="29"/>
      <c r="H62" s="29">
        <f t="shared" si="73"/>
        <v>3</v>
      </c>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row>
    <row r="63" spans="2:134" ht="30" customHeight="1" thickBot="1" x14ac:dyDescent="0.35">
      <c r="B63" s="57" t="s">
        <v>77</v>
      </c>
      <c r="C63" s="54" t="s">
        <v>38</v>
      </c>
      <c r="D63" s="55"/>
      <c r="E63" s="56"/>
      <c r="F63" s="56"/>
      <c r="G63" s="29"/>
      <c r="H63" s="29" t="str">
        <f t="shared" si="73"/>
        <v/>
      </c>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row>
    <row r="64" spans="2:134" ht="30" customHeight="1" thickBot="1" x14ac:dyDescent="0.35">
      <c r="B64" s="27" t="s">
        <v>230</v>
      </c>
      <c r="C64" s="12" t="s">
        <v>38</v>
      </c>
      <c r="D64" s="28"/>
      <c r="E64" s="47"/>
      <c r="F64" s="48"/>
      <c r="G64" s="29"/>
      <c r="H64" s="29" t="str">
        <f t="shared" si="73"/>
        <v/>
      </c>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row>
    <row r="65" spans="2:134" ht="30" customHeight="1" thickBot="1" x14ac:dyDescent="0.35">
      <c r="B65" s="77" t="s">
        <v>228</v>
      </c>
      <c r="C65" s="13" t="s">
        <v>38</v>
      </c>
      <c r="D65" s="30">
        <v>0</v>
      </c>
      <c r="E65" s="49">
        <f>F62+3</f>
        <v>46335</v>
      </c>
      <c r="F65" s="49">
        <f>E65</f>
        <v>46335</v>
      </c>
      <c r="G65" s="29"/>
      <c r="H65" s="29">
        <f t="shared" si="73"/>
        <v>1</v>
      </c>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row>
    <row r="66" spans="2:134" ht="30" customHeight="1" thickBot="1" x14ac:dyDescent="0.35">
      <c r="B66" s="77" t="s">
        <v>229</v>
      </c>
      <c r="C66" s="13" t="s">
        <v>38</v>
      </c>
      <c r="D66" s="30">
        <v>0</v>
      </c>
      <c r="E66" s="49">
        <f>F65</f>
        <v>46335</v>
      </c>
      <c r="F66" s="49">
        <f>E66</f>
        <v>46335</v>
      </c>
      <c r="G66" s="29"/>
      <c r="H66" s="29">
        <f t="shared" si="73"/>
        <v>1</v>
      </c>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row>
    <row r="67" spans="2:134" ht="30" customHeight="1" thickBot="1" x14ac:dyDescent="0.35">
      <c r="B67" s="77" t="s">
        <v>233</v>
      </c>
      <c r="C67" s="13" t="s">
        <v>38</v>
      </c>
      <c r="D67" s="30">
        <v>0</v>
      </c>
      <c r="E67" s="49">
        <f>F65</f>
        <v>46335</v>
      </c>
      <c r="F67" s="49">
        <f>E67</f>
        <v>46335</v>
      </c>
      <c r="G67" s="29"/>
      <c r="H67" s="29">
        <f t="shared" si="73"/>
        <v>1</v>
      </c>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row>
    <row r="68" spans="2:134" ht="30" customHeight="1" thickBot="1" x14ac:dyDescent="0.35">
      <c r="B68" s="27" t="s">
        <v>87</v>
      </c>
      <c r="C68" s="12" t="s">
        <v>38</v>
      </c>
      <c r="D68" s="28"/>
      <c r="E68" s="47"/>
      <c r="F68" s="48"/>
      <c r="G68" s="29"/>
      <c r="H68" s="29" t="str">
        <f t="shared" si="73"/>
        <v/>
      </c>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row>
    <row r="69" spans="2:134" ht="30" customHeight="1" thickBot="1" x14ac:dyDescent="0.35">
      <c r="B69" s="62" t="s">
        <v>88</v>
      </c>
      <c r="C69" s="13" t="s">
        <v>38</v>
      </c>
      <c r="D69" s="30">
        <v>0</v>
      </c>
      <c r="E69" s="49">
        <f>F67</f>
        <v>46335</v>
      </c>
      <c r="F69" s="49">
        <f>E69+1</f>
        <v>46336</v>
      </c>
      <c r="G69" s="29"/>
      <c r="H69" s="29">
        <f t="shared" si="73"/>
        <v>2</v>
      </c>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row>
    <row r="70" spans="2:134" ht="30" customHeight="1" thickBot="1" x14ac:dyDescent="0.35">
      <c r="B70" s="27" t="s">
        <v>89</v>
      </c>
      <c r="C70" s="12" t="s">
        <v>38</v>
      </c>
      <c r="D70" s="28"/>
      <c r="E70" s="47"/>
      <c r="F70" s="48"/>
      <c r="G70" s="29"/>
      <c r="H70" s="29" t="str">
        <f t="shared" si="73"/>
        <v/>
      </c>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row>
    <row r="71" spans="2:134" ht="30" customHeight="1" thickBot="1" x14ac:dyDescent="0.35">
      <c r="B71" s="62" t="s">
        <v>90</v>
      </c>
      <c r="C71" s="13" t="s">
        <v>38</v>
      </c>
      <c r="D71" s="30">
        <v>0</v>
      </c>
      <c r="E71" s="49">
        <f>F69</f>
        <v>46336</v>
      </c>
      <c r="F71" s="49">
        <f>E71+1</f>
        <v>46337</v>
      </c>
      <c r="G71" s="29"/>
      <c r="H71" s="29">
        <f t="shared" si="73"/>
        <v>2</v>
      </c>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row>
    <row r="72" spans="2:134" ht="30" customHeight="1" thickBot="1" x14ac:dyDescent="0.35">
      <c r="B72" s="57" t="s">
        <v>246</v>
      </c>
      <c r="C72" s="54" t="s">
        <v>38</v>
      </c>
      <c r="D72" s="55"/>
      <c r="E72" s="56"/>
      <c r="F72" s="56"/>
      <c r="G72" s="29"/>
      <c r="H72" s="29" t="str">
        <f t="shared" si="73"/>
        <v/>
      </c>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row>
    <row r="73" spans="2:134" ht="30" customHeight="1" thickBot="1" x14ac:dyDescent="0.35">
      <c r="B73" s="77" t="s">
        <v>247</v>
      </c>
      <c r="C73" s="13" t="s">
        <v>38</v>
      </c>
      <c r="D73" s="30">
        <v>0</v>
      </c>
      <c r="E73" s="49">
        <f>E71</f>
        <v>46336</v>
      </c>
      <c r="F73" s="49">
        <f>E73+1</f>
        <v>46337</v>
      </c>
      <c r="G73" s="29"/>
      <c r="H73" s="29">
        <f t="shared" si="73"/>
        <v>2</v>
      </c>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row>
    <row r="74" spans="2:134" ht="30" customHeight="1" thickBot="1" x14ac:dyDescent="0.35">
      <c r="B74" s="77" t="s">
        <v>248</v>
      </c>
      <c r="C74" s="13" t="s">
        <v>38</v>
      </c>
      <c r="D74" s="30">
        <v>0</v>
      </c>
      <c r="E74" s="49">
        <f>E73</f>
        <v>46336</v>
      </c>
      <c r="F74" s="49">
        <f>E74+1</f>
        <v>46337</v>
      </c>
      <c r="G74" s="29"/>
      <c r="H74" s="29">
        <f t="shared" si="73"/>
        <v>2</v>
      </c>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row>
    <row r="75" spans="2:134" ht="30" customHeight="1" thickBot="1" x14ac:dyDescent="0.35">
      <c r="B75" s="57" t="s">
        <v>91</v>
      </c>
      <c r="C75" s="54" t="s">
        <v>38</v>
      </c>
      <c r="D75" s="55"/>
      <c r="E75" s="56"/>
      <c r="F75" s="56"/>
      <c r="G75" s="29"/>
      <c r="H75" s="29" t="str">
        <f t="shared" si="73"/>
        <v/>
      </c>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row>
    <row r="76" spans="2:134" ht="30" customHeight="1" thickBot="1" x14ac:dyDescent="0.35">
      <c r="B76" s="27" t="s">
        <v>230</v>
      </c>
      <c r="C76" s="12" t="s">
        <v>38</v>
      </c>
      <c r="D76" s="28"/>
      <c r="E76" s="47"/>
      <c r="F76" s="48"/>
      <c r="G76" s="29"/>
      <c r="H76" s="29" t="str">
        <f t="shared" si="73"/>
        <v/>
      </c>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row>
    <row r="77" spans="2:134" ht="30" customHeight="1" thickBot="1" x14ac:dyDescent="0.35">
      <c r="B77" s="77" t="s">
        <v>231</v>
      </c>
      <c r="C77" s="13" t="s">
        <v>38</v>
      </c>
      <c r="D77" s="30">
        <v>0</v>
      </c>
      <c r="E77" s="49">
        <f>F74</f>
        <v>46337</v>
      </c>
      <c r="F77" s="49">
        <f>E77</f>
        <v>46337</v>
      </c>
      <c r="G77" s="29"/>
      <c r="H77" s="29">
        <f t="shared" si="73"/>
        <v>1</v>
      </c>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row>
    <row r="78" spans="2:134" ht="30" customHeight="1" thickBot="1" x14ac:dyDescent="0.35">
      <c r="B78" s="77" t="s">
        <v>232</v>
      </c>
      <c r="C78" s="13" t="s">
        <v>38</v>
      </c>
      <c r="D78" s="30">
        <v>0</v>
      </c>
      <c r="E78" s="49">
        <f>F77</f>
        <v>46337</v>
      </c>
      <c r="F78" s="49">
        <f>E78</f>
        <v>46337</v>
      </c>
      <c r="G78" s="29"/>
      <c r="H78" s="29">
        <f t="shared" si="73"/>
        <v>1</v>
      </c>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row>
    <row r="79" spans="2:134" ht="30" customHeight="1" thickBot="1" x14ac:dyDescent="0.35">
      <c r="B79" s="77" t="s">
        <v>234</v>
      </c>
      <c r="C79" s="13" t="s">
        <v>38</v>
      </c>
      <c r="D79" s="30">
        <v>0</v>
      </c>
      <c r="E79" s="49">
        <f>F78</f>
        <v>46337</v>
      </c>
      <c r="F79" s="49">
        <f>E79</f>
        <v>46337</v>
      </c>
      <c r="G79" s="29"/>
      <c r="H79" s="29">
        <f t="shared" si="73"/>
        <v>1</v>
      </c>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row>
    <row r="80" spans="2:134" ht="30" customHeight="1" thickBot="1" x14ac:dyDescent="0.35">
      <c r="B80" s="27" t="s">
        <v>87</v>
      </c>
      <c r="C80" s="12" t="s">
        <v>38</v>
      </c>
      <c r="D80" s="28"/>
      <c r="E80" s="47"/>
      <c r="F80" s="48"/>
      <c r="G80" s="29"/>
      <c r="H80" s="29" t="str">
        <f t="shared" si="73"/>
        <v/>
      </c>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row>
    <row r="81" spans="2:134" ht="30" customHeight="1" thickBot="1" x14ac:dyDescent="0.35">
      <c r="B81" s="62" t="s">
        <v>88</v>
      </c>
      <c r="C81" s="13" t="s">
        <v>38</v>
      </c>
      <c r="D81" s="30">
        <v>0</v>
      </c>
      <c r="E81" s="49">
        <f>F79+1</f>
        <v>46338</v>
      </c>
      <c r="F81" s="49">
        <f>E81</f>
        <v>46338</v>
      </c>
      <c r="G81" s="29"/>
      <c r="H81" s="29">
        <f t="shared" si="73"/>
        <v>1</v>
      </c>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row>
    <row r="82" spans="2:134" ht="30" customHeight="1" thickBot="1" x14ac:dyDescent="0.35">
      <c r="B82" s="27" t="s">
        <v>92</v>
      </c>
      <c r="C82" s="12" t="s">
        <v>38</v>
      </c>
      <c r="D82" s="28"/>
      <c r="E82" s="47"/>
      <c r="F82" s="48"/>
      <c r="G82" s="29"/>
      <c r="H82" s="29" t="str">
        <f t="shared" si="73"/>
        <v/>
      </c>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row>
    <row r="83" spans="2:134" ht="30" customHeight="1" thickBot="1" x14ac:dyDescent="0.35">
      <c r="B83" s="62" t="s">
        <v>94</v>
      </c>
      <c r="C83" s="13" t="s">
        <v>38</v>
      </c>
      <c r="D83" s="30">
        <v>0</v>
      </c>
      <c r="E83" s="49">
        <f>F81</f>
        <v>46338</v>
      </c>
      <c r="F83" s="49">
        <f>E83+1</f>
        <v>46339</v>
      </c>
      <c r="G83" s="29"/>
      <c r="H83" s="29">
        <f t="shared" si="73"/>
        <v>2</v>
      </c>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row>
    <row r="84" spans="2:134" ht="30" customHeight="1" thickBot="1" x14ac:dyDescent="0.35">
      <c r="B84" s="62" t="s">
        <v>95</v>
      </c>
      <c r="C84" s="13" t="s">
        <v>38</v>
      </c>
      <c r="D84" s="30">
        <v>0</v>
      </c>
      <c r="E84" s="49">
        <f>F83</f>
        <v>46339</v>
      </c>
      <c r="F84" s="49">
        <f>E84+3</f>
        <v>46342</v>
      </c>
      <c r="G84" s="29"/>
      <c r="H84" s="29">
        <f t="shared" si="73"/>
        <v>4</v>
      </c>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row>
    <row r="85" spans="2:134" ht="30" customHeight="1" thickBot="1" x14ac:dyDescent="0.35">
      <c r="B85" s="62" t="s">
        <v>96</v>
      </c>
      <c r="C85" s="13" t="s">
        <v>38</v>
      </c>
      <c r="D85" s="30">
        <v>0</v>
      </c>
      <c r="E85" s="49">
        <f>F84</f>
        <v>46342</v>
      </c>
      <c r="F85" s="49">
        <f>E85</f>
        <v>46342</v>
      </c>
      <c r="G85" s="29"/>
      <c r="H85" s="29">
        <f t="shared" si="73"/>
        <v>1</v>
      </c>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row>
    <row r="86" spans="2:134" ht="30" customHeight="1" thickBot="1" x14ac:dyDescent="0.35">
      <c r="B86" s="57" t="s">
        <v>97</v>
      </c>
      <c r="C86" s="54" t="s">
        <v>38</v>
      </c>
      <c r="D86" s="55"/>
      <c r="E86" s="56"/>
      <c r="F86" s="56"/>
      <c r="G86" s="29"/>
      <c r="H86" s="29" t="str">
        <f t="shared" si="73"/>
        <v/>
      </c>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row>
    <row r="87" spans="2:134" ht="30" customHeight="1" thickBot="1" x14ac:dyDescent="0.35">
      <c r="B87" s="27" t="s">
        <v>230</v>
      </c>
      <c r="C87" s="12" t="s">
        <v>38</v>
      </c>
      <c r="D87" s="28"/>
      <c r="E87" s="47"/>
      <c r="F87" s="48"/>
      <c r="G87" s="29"/>
      <c r="H87" s="29" t="str">
        <f t="shared" ref="H87:H150" si="74">IF(OR(ISBLANK(タスク_開始),ISBLANK(タスク_終了)),"",タスク_終了-タスク_開始+1)</f>
        <v/>
      </c>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row>
    <row r="88" spans="2:134" ht="30" customHeight="1" thickBot="1" x14ac:dyDescent="0.35">
      <c r="B88" s="77" t="s">
        <v>235</v>
      </c>
      <c r="C88" s="13" t="s">
        <v>38</v>
      </c>
      <c r="D88" s="30">
        <v>0</v>
      </c>
      <c r="E88" s="49">
        <f>F85+1</f>
        <v>46343</v>
      </c>
      <c r="F88" s="49">
        <f>E88</f>
        <v>46343</v>
      </c>
      <c r="G88" s="29"/>
      <c r="H88" s="29">
        <f t="shared" si="74"/>
        <v>1</v>
      </c>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row>
    <row r="89" spans="2:134" ht="30" customHeight="1" thickBot="1" x14ac:dyDescent="0.35">
      <c r="B89" s="77" t="s">
        <v>236</v>
      </c>
      <c r="C89" s="13" t="s">
        <v>38</v>
      </c>
      <c r="D89" s="30">
        <v>0</v>
      </c>
      <c r="E89" s="49">
        <f>F88</f>
        <v>46343</v>
      </c>
      <c r="F89" s="49">
        <f>E89</f>
        <v>46343</v>
      </c>
      <c r="G89" s="29"/>
      <c r="H89" s="29">
        <f t="shared" si="74"/>
        <v>1</v>
      </c>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row>
    <row r="90" spans="2:134" ht="30" customHeight="1" thickBot="1" x14ac:dyDescent="0.35">
      <c r="B90" s="77" t="s">
        <v>237</v>
      </c>
      <c r="C90" s="13" t="s">
        <v>38</v>
      </c>
      <c r="D90" s="30">
        <v>0</v>
      </c>
      <c r="E90" s="49">
        <f>F89</f>
        <v>46343</v>
      </c>
      <c r="F90" s="49">
        <f>E90</f>
        <v>46343</v>
      </c>
      <c r="G90" s="29"/>
      <c r="H90" s="29">
        <f t="shared" si="74"/>
        <v>1</v>
      </c>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row>
    <row r="91" spans="2:134" ht="30" customHeight="1" thickBot="1" x14ac:dyDescent="0.35">
      <c r="B91" s="27" t="s">
        <v>87</v>
      </c>
      <c r="C91" s="12" t="s">
        <v>38</v>
      </c>
      <c r="D91" s="28"/>
      <c r="E91" s="47"/>
      <c r="F91" s="48"/>
      <c r="G91" s="29"/>
      <c r="H91" s="29" t="str">
        <f t="shared" si="74"/>
        <v/>
      </c>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row>
    <row r="92" spans="2:134" ht="30" customHeight="1" thickBot="1" x14ac:dyDescent="0.35">
      <c r="B92" s="62" t="s">
        <v>88</v>
      </c>
      <c r="C92" s="13" t="s">
        <v>38</v>
      </c>
      <c r="D92" s="30">
        <v>0</v>
      </c>
      <c r="E92" s="49">
        <f>F90+1</f>
        <v>46344</v>
      </c>
      <c r="F92" s="49">
        <f>E92</f>
        <v>46344</v>
      </c>
      <c r="G92" s="29"/>
      <c r="H92" s="29">
        <f t="shared" si="74"/>
        <v>1</v>
      </c>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row>
    <row r="93" spans="2:134" ht="30" customHeight="1" thickBot="1" x14ac:dyDescent="0.35">
      <c r="B93" s="27" t="s">
        <v>98</v>
      </c>
      <c r="C93" s="12" t="s">
        <v>38</v>
      </c>
      <c r="D93" s="28"/>
      <c r="E93" s="47"/>
      <c r="F93" s="48"/>
      <c r="G93" s="29"/>
      <c r="H93" s="29" t="str">
        <f t="shared" si="74"/>
        <v/>
      </c>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row>
    <row r="94" spans="2:134" ht="30" customHeight="1" thickBot="1" x14ac:dyDescent="0.35">
      <c r="B94" s="62" t="s">
        <v>99</v>
      </c>
      <c r="C94" s="13" t="s">
        <v>38</v>
      </c>
      <c r="D94" s="30">
        <v>0</v>
      </c>
      <c r="E94" s="49">
        <f>F92</f>
        <v>46344</v>
      </c>
      <c r="F94" s="49">
        <f>E94+1</f>
        <v>46345</v>
      </c>
      <c r="G94" s="29"/>
      <c r="H94" s="29">
        <f t="shared" si="74"/>
        <v>2</v>
      </c>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row>
    <row r="95" spans="2:134" ht="30" customHeight="1" thickBot="1" x14ac:dyDescent="0.35">
      <c r="B95" s="62" t="s">
        <v>100</v>
      </c>
      <c r="C95" s="13" t="s">
        <v>38</v>
      </c>
      <c r="D95" s="30">
        <v>0</v>
      </c>
      <c r="E95" s="49">
        <f>F94</f>
        <v>46345</v>
      </c>
      <c r="F95" s="49">
        <f>E95+1</f>
        <v>46346</v>
      </c>
      <c r="G95" s="29"/>
      <c r="H95" s="29">
        <f t="shared" si="74"/>
        <v>2</v>
      </c>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row>
    <row r="96" spans="2:134" ht="30" customHeight="1" thickBot="1" x14ac:dyDescent="0.35">
      <c r="B96" s="77" t="s">
        <v>249</v>
      </c>
      <c r="C96" s="13" t="s">
        <v>38</v>
      </c>
      <c r="D96" s="30">
        <v>0</v>
      </c>
      <c r="E96" s="49"/>
      <c r="F96" s="49"/>
      <c r="G96" s="29"/>
      <c r="H96" s="29" t="str">
        <f t="shared" si="74"/>
        <v/>
      </c>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row>
    <row r="97" spans="2:134" ht="30" customHeight="1" thickBot="1" x14ac:dyDescent="0.35">
      <c r="B97" s="57" t="s">
        <v>101</v>
      </c>
      <c r="C97" s="54" t="s">
        <v>38</v>
      </c>
      <c r="D97" s="55"/>
      <c r="E97" s="56"/>
      <c r="F97" s="56"/>
      <c r="G97" s="29"/>
      <c r="H97" s="29" t="str">
        <f t="shared" si="74"/>
        <v/>
      </c>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row>
    <row r="98" spans="2:134" ht="30" customHeight="1" thickBot="1" x14ac:dyDescent="0.35">
      <c r="B98" s="27" t="s">
        <v>230</v>
      </c>
      <c r="C98" s="12" t="s">
        <v>38</v>
      </c>
      <c r="D98" s="28"/>
      <c r="E98" s="47"/>
      <c r="F98" s="48"/>
      <c r="G98" s="29"/>
      <c r="H98" s="29" t="str">
        <f t="shared" si="74"/>
        <v/>
      </c>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row>
    <row r="99" spans="2:134" ht="30" customHeight="1" thickBot="1" x14ac:dyDescent="0.35">
      <c r="B99" s="77" t="s">
        <v>238</v>
      </c>
      <c r="C99" s="13" t="s">
        <v>38</v>
      </c>
      <c r="D99" s="30">
        <v>0</v>
      </c>
      <c r="E99" s="49">
        <f>F47+1</f>
        <v>46350</v>
      </c>
      <c r="F99" s="49">
        <f>E99</f>
        <v>46350</v>
      </c>
      <c r="G99" s="29"/>
      <c r="H99" s="29">
        <f t="shared" si="74"/>
        <v>1</v>
      </c>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row>
    <row r="100" spans="2:134" ht="30" customHeight="1" thickBot="1" x14ac:dyDescent="0.35">
      <c r="B100" s="77" t="s">
        <v>239</v>
      </c>
      <c r="C100" s="13" t="s">
        <v>38</v>
      </c>
      <c r="D100" s="30">
        <v>0</v>
      </c>
      <c r="E100" s="49">
        <f>F99</f>
        <v>46350</v>
      </c>
      <c r="F100" s="49">
        <f>E100</f>
        <v>46350</v>
      </c>
      <c r="G100" s="29"/>
      <c r="H100" s="29">
        <f t="shared" si="74"/>
        <v>1</v>
      </c>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row>
    <row r="101" spans="2:134" ht="30" customHeight="1" thickBot="1" x14ac:dyDescent="0.35">
      <c r="B101" s="77" t="s">
        <v>240</v>
      </c>
      <c r="C101" s="13" t="s">
        <v>38</v>
      </c>
      <c r="D101" s="30">
        <v>0</v>
      </c>
      <c r="E101" s="49">
        <f>F100</f>
        <v>46350</v>
      </c>
      <c r="F101" s="49">
        <f>E101</f>
        <v>46350</v>
      </c>
      <c r="G101" s="29"/>
      <c r="H101" s="29">
        <f t="shared" si="74"/>
        <v>1</v>
      </c>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row>
    <row r="102" spans="2:134" ht="30" customHeight="1" thickBot="1" x14ac:dyDescent="0.35">
      <c r="B102" s="27" t="s">
        <v>87</v>
      </c>
      <c r="C102" s="12" t="s">
        <v>38</v>
      </c>
      <c r="D102" s="28"/>
      <c r="E102" s="47"/>
      <c r="F102" s="48"/>
      <c r="G102" s="29"/>
      <c r="H102" s="29" t="str">
        <f t="shared" si="74"/>
        <v/>
      </c>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row>
    <row r="103" spans="2:134" ht="30" customHeight="1" thickBot="1" x14ac:dyDescent="0.35">
      <c r="B103" s="62" t="s">
        <v>88</v>
      </c>
      <c r="C103" s="13" t="s">
        <v>38</v>
      </c>
      <c r="D103" s="30">
        <v>0</v>
      </c>
      <c r="E103" s="49">
        <f>F101+1</f>
        <v>46351</v>
      </c>
      <c r="F103" s="49">
        <f>E103</f>
        <v>46351</v>
      </c>
      <c r="G103" s="29"/>
      <c r="H103" s="29">
        <f t="shared" si="74"/>
        <v>1</v>
      </c>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row>
    <row r="104" spans="2:134" ht="30" customHeight="1" thickBot="1" x14ac:dyDescent="0.35">
      <c r="B104" s="27" t="s">
        <v>102</v>
      </c>
      <c r="C104" s="12" t="s">
        <v>38</v>
      </c>
      <c r="D104" s="28"/>
      <c r="E104" s="47"/>
      <c r="F104" s="48"/>
      <c r="G104" s="29"/>
      <c r="H104" s="29" t="str">
        <f t="shared" si="74"/>
        <v/>
      </c>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row>
    <row r="105" spans="2:134" ht="30" customHeight="1" thickBot="1" x14ac:dyDescent="0.35">
      <c r="B105" s="62" t="s">
        <v>103</v>
      </c>
      <c r="C105" s="13" t="s">
        <v>38</v>
      </c>
      <c r="D105" s="30">
        <v>0</v>
      </c>
      <c r="E105" s="49">
        <f>F103</f>
        <v>46351</v>
      </c>
      <c r="F105" s="49">
        <f>E105</f>
        <v>46351</v>
      </c>
      <c r="G105" s="29"/>
      <c r="H105" s="29">
        <f t="shared" si="74"/>
        <v>1</v>
      </c>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row>
    <row r="106" spans="2:134" ht="30" customHeight="1" thickBot="1" x14ac:dyDescent="0.35">
      <c r="B106" s="57" t="s">
        <v>104</v>
      </c>
      <c r="C106" s="54" t="s">
        <v>38</v>
      </c>
      <c r="D106" s="55"/>
      <c r="E106" s="56"/>
      <c r="F106" s="56"/>
      <c r="G106" s="29"/>
      <c r="H106" s="29" t="str">
        <f t="shared" si="74"/>
        <v/>
      </c>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row>
    <row r="107" spans="2:134" ht="30" customHeight="1" thickBot="1" x14ac:dyDescent="0.35">
      <c r="B107" s="27" t="s">
        <v>230</v>
      </c>
      <c r="C107" s="12" t="s">
        <v>38</v>
      </c>
      <c r="D107" s="28"/>
      <c r="E107" s="47"/>
      <c r="F107" s="48"/>
      <c r="G107" s="29"/>
      <c r="H107" s="29" t="str">
        <f t="shared" si="74"/>
        <v/>
      </c>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row>
    <row r="108" spans="2:134" ht="30" customHeight="1" thickBot="1" x14ac:dyDescent="0.35">
      <c r="B108" s="77" t="s">
        <v>241</v>
      </c>
      <c r="C108" s="13" t="s">
        <v>38</v>
      </c>
      <c r="D108" s="30">
        <v>0</v>
      </c>
      <c r="E108" s="49">
        <f>F105+1</f>
        <v>46352</v>
      </c>
      <c r="F108" s="49">
        <f>E108</f>
        <v>46352</v>
      </c>
      <c r="G108" s="29"/>
      <c r="H108" s="29">
        <f t="shared" si="74"/>
        <v>1</v>
      </c>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row>
    <row r="109" spans="2:134" ht="30" customHeight="1" thickBot="1" x14ac:dyDescent="0.35">
      <c r="B109" s="77" t="s">
        <v>242</v>
      </c>
      <c r="C109" s="13" t="s">
        <v>38</v>
      </c>
      <c r="D109" s="30">
        <v>0</v>
      </c>
      <c r="E109" s="49">
        <f>F108</f>
        <v>46352</v>
      </c>
      <c r="F109" s="49">
        <f>E109</f>
        <v>46352</v>
      </c>
      <c r="G109" s="29"/>
      <c r="H109" s="29">
        <f t="shared" si="74"/>
        <v>1</v>
      </c>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row>
    <row r="110" spans="2:134" ht="30" customHeight="1" thickBot="1" x14ac:dyDescent="0.35">
      <c r="B110" s="77" t="s">
        <v>243</v>
      </c>
      <c r="C110" s="13" t="s">
        <v>38</v>
      </c>
      <c r="D110" s="30">
        <v>0</v>
      </c>
      <c r="E110" s="49">
        <f>F108</f>
        <v>46352</v>
      </c>
      <c r="F110" s="49">
        <f>E110</f>
        <v>46352</v>
      </c>
      <c r="G110" s="29"/>
      <c r="H110" s="29">
        <f t="shared" si="74"/>
        <v>1</v>
      </c>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row>
    <row r="111" spans="2:134" ht="30" customHeight="1" thickBot="1" x14ac:dyDescent="0.35">
      <c r="B111" s="27" t="s">
        <v>87</v>
      </c>
      <c r="C111" s="12" t="s">
        <v>38</v>
      </c>
      <c r="D111" s="28"/>
      <c r="E111" s="47"/>
      <c r="F111" s="48"/>
      <c r="G111" s="29"/>
      <c r="H111" s="29" t="str">
        <f t="shared" si="74"/>
        <v/>
      </c>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row>
    <row r="112" spans="2:134" ht="30" customHeight="1" thickBot="1" x14ac:dyDescent="0.35">
      <c r="B112" s="62" t="s">
        <v>88</v>
      </c>
      <c r="C112" s="13" t="s">
        <v>38</v>
      </c>
      <c r="D112" s="30">
        <v>0</v>
      </c>
      <c r="E112" s="49">
        <f>F110+1</f>
        <v>46353</v>
      </c>
      <c r="F112" s="49">
        <f>E112</f>
        <v>46353</v>
      </c>
      <c r="G112" s="29"/>
      <c r="H112" s="29">
        <f t="shared" si="74"/>
        <v>1</v>
      </c>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row>
    <row r="113" spans="2:134" ht="30" customHeight="1" thickBot="1" x14ac:dyDescent="0.35">
      <c r="B113" s="27" t="s">
        <v>105</v>
      </c>
      <c r="C113" s="12" t="s">
        <v>38</v>
      </c>
      <c r="D113" s="28"/>
      <c r="E113" s="47"/>
      <c r="F113" s="48"/>
      <c r="G113" s="29"/>
      <c r="H113" s="29" t="str">
        <f t="shared" si="74"/>
        <v/>
      </c>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row>
    <row r="114" spans="2:134" ht="30" customHeight="1" thickBot="1" x14ac:dyDescent="0.35">
      <c r="B114" s="62" t="s">
        <v>106</v>
      </c>
      <c r="C114" s="13" t="s">
        <v>38</v>
      </c>
      <c r="D114" s="30">
        <v>0</v>
      </c>
      <c r="E114" s="49">
        <f>F112</f>
        <v>46353</v>
      </c>
      <c r="F114" s="49">
        <f>E114+3</f>
        <v>46356</v>
      </c>
      <c r="G114" s="29"/>
      <c r="H114" s="29">
        <f t="shared" si="74"/>
        <v>4</v>
      </c>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row>
    <row r="115" spans="2:134" ht="30" customHeight="1" thickBot="1" x14ac:dyDescent="0.35">
      <c r="B115" s="62" t="s">
        <v>107</v>
      </c>
      <c r="C115" s="13" t="s">
        <v>38</v>
      </c>
      <c r="D115" s="30">
        <v>0</v>
      </c>
      <c r="E115" s="49">
        <f>F114</f>
        <v>46356</v>
      </c>
      <c r="F115" s="49">
        <f>E115+1</f>
        <v>46357</v>
      </c>
      <c r="G115" s="29"/>
      <c r="H115" s="29">
        <f t="shared" si="74"/>
        <v>2</v>
      </c>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row>
    <row r="116" spans="2:134" ht="30" customHeight="1" thickBot="1" x14ac:dyDescent="0.35">
      <c r="B116" s="62" t="s">
        <v>108</v>
      </c>
      <c r="C116" s="13" t="s">
        <v>38</v>
      </c>
      <c r="D116" s="30">
        <v>0</v>
      </c>
      <c r="E116" s="49">
        <f>F115</f>
        <v>46357</v>
      </c>
      <c r="F116" s="49">
        <f>E116+1</f>
        <v>46358</v>
      </c>
      <c r="G116" s="29"/>
      <c r="H116" s="29">
        <f t="shared" si="74"/>
        <v>2</v>
      </c>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row>
    <row r="117" spans="2:134" ht="30" customHeight="1" thickBot="1" x14ac:dyDescent="0.35">
      <c r="B117" s="57" t="s">
        <v>250</v>
      </c>
      <c r="C117" s="54" t="s">
        <v>38</v>
      </c>
      <c r="D117" s="55"/>
      <c r="E117" s="56"/>
      <c r="F117" s="56"/>
      <c r="G117" s="29"/>
      <c r="H117" s="29" t="str">
        <f t="shared" si="74"/>
        <v/>
      </c>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row>
    <row r="118" spans="2:134" ht="30" customHeight="1" thickBot="1" x14ac:dyDescent="0.35">
      <c r="B118" s="27" t="s">
        <v>251</v>
      </c>
      <c r="C118" s="12" t="s">
        <v>38</v>
      </c>
      <c r="D118" s="28"/>
      <c r="E118" s="47"/>
      <c r="F118" s="48"/>
      <c r="G118" s="29"/>
      <c r="H118" s="29" t="str">
        <f t="shared" si="74"/>
        <v/>
      </c>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row>
    <row r="119" spans="2:134" ht="30" customHeight="1" thickBot="1" x14ac:dyDescent="0.35">
      <c r="B119" s="77" t="s">
        <v>252</v>
      </c>
      <c r="C119" s="13" t="s">
        <v>38</v>
      </c>
      <c r="D119" s="30">
        <v>0</v>
      </c>
      <c r="E119" s="49">
        <f>F116+1</f>
        <v>46359</v>
      </c>
      <c r="F119" s="49">
        <f>E119</f>
        <v>46359</v>
      </c>
      <c r="G119" s="29"/>
      <c r="H119" s="29">
        <f t="shared" si="74"/>
        <v>1</v>
      </c>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row>
    <row r="120" spans="2:134" ht="30" customHeight="1" thickBot="1" x14ac:dyDescent="0.35">
      <c r="B120" s="77" t="s">
        <v>253</v>
      </c>
      <c r="C120" s="13" t="s">
        <v>38</v>
      </c>
      <c r="D120" s="30">
        <v>0</v>
      </c>
      <c r="E120" s="49">
        <f>F119</f>
        <v>46359</v>
      </c>
      <c r="F120" s="49">
        <f>E120</f>
        <v>46359</v>
      </c>
      <c r="G120" s="29"/>
      <c r="H120" s="29">
        <f t="shared" si="74"/>
        <v>1</v>
      </c>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row>
    <row r="121" spans="2:134" ht="30" customHeight="1" thickBot="1" x14ac:dyDescent="0.35">
      <c r="B121" s="77" t="s">
        <v>254</v>
      </c>
      <c r="C121" s="13" t="s">
        <v>38</v>
      </c>
      <c r="D121" s="30">
        <v>0</v>
      </c>
      <c r="E121" s="49">
        <f>F120</f>
        <v>46359</v>
      </c>
      <c r="F121" s="49">
        <f>E121</f>
        <v>46359</v>
      </c>
      <c r="G121" s="29"/>
      <c r="H121" s="29">
        <f t="shared" si="74"/>
        <v>1</v>
      </c>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row>
    <row r="122" spans="2:134" ht="30" customHeight="1" thickBot="1" x14ac:dyDescent="0.35">
      <c r="B122" s="27" t="s">
        <v>87</v>
      </c>
      <c r="C122" s="12" t="s">
        <v>38</v>
      </c>
      <c r="D122" s="28"/>
      <c r="E122" s="47"/>
      <c r="F122" s="48"/>
      <c r="G122" s="29"/>
      <c r="H122" s="29" t="str">
        <f t="shared" si="74"/>
        <v/>
      </c>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row>
    <row r="123" spans="2:134" ht="30" customHeight="1" thickBot="1" x14ac:dyDescent="0.35">
      <c r="B123" s="62" t="s">
        <v>88</v>
      </c>
      <c r="C123" s="13" t="s">
        <v>38</v>
      </c>
      <c r="D123" s="30">
        <v>0</v>
      </c>
      <c r="E123" s="49">
        <f>F121+1</f>
        <v>46360</v>
      </c>
      <c r="F123" s="49">
        <f>E123</f>
        <v>46360</v>
      </c>
      <c r="G123" s="29"/>
      <c r="H123" s="29">
        <f t="shared" si="74"/>
        <v>1</v>
      </c>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row>
    <row r="124" spans="2:134" ht="30" customHeight="1" thickBot="1" x14ac:dyDescent="0.35">
      <c r="B124" s="27" t="s">
        <v>258</v>
      </c>
      <c r="C124" s="12" t="s">
        <v>38</v>
      </c>
      <c r="D124" s="28"/>
      <c r="E124" s="47"/>
      <c r="F124" s="48"/>
      <c r="G124" s="29"/>
      <c r="H124" s="29" t="str">
        <f t="shared" si="74"/>
        <v/>
      </c>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row>
    <row r="125" spans="2:134" ht="30" customHeight="1" thickBot="1" x14ac:dyDescent="0.35">
      <c r="B125" s="77" t="s">
        <v>255</v>
      </c>
      <c r="C125" s="13" t="s">
        <v>38</v>
      </c>
      <c r="D125" s="30">
        <v>0</v>
      </c>
      <c r="E125" s="49">
        <f>F123</f>
        <v>46360</v>
      </c>
      <c r="F125" s="49">
        <f>E125</f>
        <v>46360</v>
      </c>
      <c r="G125" s="29"/>
      <c r="H125" s="29">
        <f t="shared" si="74"/>
        <v>1</v>
      </c>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row>
    <row r="126" spans="2:134" ht="30" customHeight="1" thickBot="1" x14ac:dyDescent="0.35">
      <c r="B126" s="77" t="s">
        <v>264</v>
      </c>
      <c r="C126" s="13" t="s">
        <v>38</v>
      </c>
      <c r="D126" s="30">
        <v>0</v>
      </c>
      <c r="E126" s="49">
        <f>F125</f>
        <v>46360</v>
      </c>
      <c r="F126" s="49">
        <f>E126</f>
        <v>46360</v>
      </c>
      <c r="G126" s="29"/>
      <c r="H126" s="29">
        <f t="shared" si="74"/>
        <v>1</v>
      </c>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row>
    <row r="127" spans="2:134" ht="30" customHeight="1" thickBot="1" x14ac:dyDescent="0.35">
      <c r="B127" s="77" t="s">
        <v>265</v>
      </c>
      <c r="C127" s="13" t="s">
        <v>38</v>
      </c>
      <c r="D127" s="30">
        <v>0</v>
      </c>
      <c r="E127" s="49">
        <f>F125</f>
        <v>46360</v>
      </c>
      <c r="F127" s="49">
        <f>E127</f>
        <v>46360</v>
      </c>
      <c r="G127" s="29"/>
      <c r="H127" s="29">
        <f t="shared" si="74"/>
        <v>1</v>
      </c>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row>
    <row r="128" spans="2:134" ht="30" customHeight="1" thickBot="1" x14ac:dyDescent="0.35">
      <c r="B128" s="77" t="s">
        <v>266</v>
      </c>
      <c r="C128" s="13" t="s">
        <v>38</v>
      </c>
      <c r="D128" s="30">
        <v>0</v>
      </c>
      <c r="E128" s="49">
        <f>F127+3</f>
        <v>46363</v>
      </c>
      <c r="F128" s="49">
        <f>E128</f>
        <v>46363</v>
      </c>
      <c r="G128" s="29"/>
      <c r="H128" s="29">
        <f t="shared" si="74"/>
        <v>1</v>
      </c>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row>
    <row r="129" spans="2:134" ht="30" customHeight="1" thickBot="1" x14ac:dyDescent="0.35">
      <c r="B129" s="77" t="s">
        <v>256</v>
      </c>
      <c r="C129" s="13" t="s">
        <v>38</v>
      </c>
      <c r="D129" s="30">
        <v>0</v>
      </c>
      <c r="E129" s="49">
        <f>F128</f>
        <v>46363</v>
      </c>
      <c r="F129" s="49">
        <f>E129+1</f>
        <v>46364</v>
      </c>
      <c r="G129" s="29"/>
      <c r="H129" s="29">
        <f t="shared" si="74"/>
        <v>2</v>
      </c>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row>
    <row r="130" spans="2:134" ht="30" customHeight="1" thickBot="1" x14ac:dyDescent="0.35">
      <c r="B130" s="77" t="s">
        <v>259</v>
      </c>
      <c r="C130" s="13" t="s">
        <v>38</v>
      </c>
      <c r="D130" s="30">
        <v>0</v>
      </c>
      <c r="E130" s="49">
        <f>F129</f>
        <v>46364</v>
      </c>
      <c r="F130" s="49">
        <f>E130+1</f>
        <v>46365</v>
      </c>
      <c r="G130" s="29"/>
      <c r="H130" s="29">
        <f t="shared" si="74"/>
        <v>2</v>
      </c>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row>
    <row r="131" spans="2:134" ht="30" customHeight="1" thickBot="1" x14ac:dyDescent="0.35">
      <c r="B131" s="77" t="s">
        <v>260</v>
      </c>
      <c r="C131" s="13" t="s">
        <v>38</v>
      </c>
      <c r="D131" s="30">
        <v>0</v>
      </c>
      <c r="E131" s="49">
        <f>F130</f>
        <v>46365</v>
      </c>
      <c r="F131" s="49">
        <f>E131+1</f>
        <v>46366</v>
      </c>
      <c r="G131" s="29"/>
      <c r="H131" s="29">
        <f t="shared" si="74"/>
        <v>2</v>
      </c>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row>
    <row r="132" spans="2:134" ht="30" customHeight="1" thickBot="1" x14ac:dyDescent="0.35">
      <c r="B132" s="77" t="s">
        <v>257</v>
      </c>
      <c r="C132" s="13" t="s">
        <v>38</v>
      </c>
      <c r="D132" s="30">
        <v>0</v>
      </c>
      <c r="E132" s="49">
        <f>F131</f>
        <v>46366</v>
      </c>
      <c r="F132" s="49">
        <f>E132+1</f>
        <v>46367</v>
      </c>
      <c r="G132" s="29"/>
      <c r="H132" s="29">
        <f t="shared" si="74"/>
        <v>2</v>
      </c>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row>
    <row r="133" spans="2:134" ht="30" customHeight="1" thickBot="1" x14ac:dyDescent="0.35">
      <c r="B133" s="77" t="s">
        <v>261</v>
      </c>
      <c r="C133" s="13" t="s">
        <v>38</v>
      </c>
      <c r="D133" s="30">
        <v>0</v>
      </c>
      <c r="E133" s="49">
        <f>F131</f>
        <v>46366</v>
      </c>
      <c r="F133" s="49">
        <f>E133+1</f>
        <v>46367</v>
      </c>
      <c r="G133" s="29"/>
      <c r="H133" s="29">
        <f t="shared" si="74"/>
        <v>2</v>
      </c>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row>
    <row r="134" spans="2:134" ht="30" customHeight="1" thickBot="1" x14ac:dyDescent="0.35">
      <c r="B134" s="77" t="s">
        <v>262</v>
      </c>
      <c r="C134" s="13" t="s">
        <v>38</v>
      </c>
      <c r="D134" s="30">
        <v>0</v>
      </c>
      <c r="E134" s="49">
        <f>F132</f>
        <v>46367</v>
      </c>
      <c r="F134" s="49">
        <f>E134</f>
        <v>46367</v>
      </c>
      <c r="G134" s="29"/>
      <c r="H134" s="29">
        <f t="shared" si="74"/>
        <v>1</v>
      </c>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c r="DR134" s="4"/>
      <c r="DS134" s="4"/>
      <c r="DT134" s="4"/>
      <c r="DU134" s="4"/>
      <c r="DV134" s="4"/>
      <c r="DW134" s="4"/>
      <c r="DX134" s="4"/>
      <c r="DY134" s="4"/>
      <c r="DZ134" s="4"/>
      <c r="EA134" s="4"/>
      <c r="EB134" s="4"/>
      <c r="EC134" s="4"/>
      <c r="ED134" s="4"/>
    </row>
    <row r="135" spans="2:134" ht="30" customHeight="1" thickBot="1" x14ac:dyDescent="0.35">
      <c r="B135" s="77" t="s">
        <v>263</v>
      </c>
      <c r="C135" s="13" t="s">
        <v>38</v>
      </c>
      <c r="D135" s="30">
        <v>0</v>
      </c>
      <c r="E135" s="49">
        <f>F133</f>
        <v>46367</v>
      </c>
      <c r="F135" s="49">
        <f>E135</f>
        <v>46367</v>
      </c>
      <c r="G135" s="29"/>
      <c r="H135" s="29">
        <f t="shared" si="74"/>
        <v>1</v>
      </c>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4"/>
      <c r="DU135" s="4"/>
      <c r="DV135" s="4"/>
      <c r="DW135" s="4"/>
      <c r="DX135" s="4"/>
      <c r="DY135" s="4"/>
      <c r="DZ135" s="4"/>
      <c r="EA135" s="4"/>
      <c r="EB135" s="4"/>
      <c r="EC135" s="4"/>
      <c r="ED135" s="4"/>
    </row>
    <row r="136" spans="2:134" ht="30" customHeight="1" thickBot="1" x14ac:dyDescent="0.35">
      <c r="B136" s="57" t="s">
        <v>267</v>
      </c>
      <c r="C136" s="54" t="s">
        <v>38</v>
      </c>
      <c r="D136" s="55"/>
      <c r="E136" s="56"/>
      <c r="F136" s="56"/>
      <c r="G136" s="29"/>
      <c r="H136" s="29" t="str">
        <f t="shared" si="74"/>
        <v/>
      </c>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4"/>
      <c r="DU136" s="4"/>
      <c r="DV136" s="4"/>
      <c r="DW136" s="4"/>
      <c r="DX136" s="4"/>
      <c r="DY136" s="4"/>
      <c r="DZ136" s="4"/>
      <c r="EA136" s="4"/>
      <c r="EB136" s="4"/>
      <c r="EC136" s="4"/>
      <c r="ED136" s="4"/>
    </row>
    <row r="137" spans="2:134" ht="30" customHeight="1" thickBot="1" x14ac:dyDescent="0.35">
      <c r="B137" s="77" t="s">
        <v>247</v>
      </c>
      <c r="C137" s="13" t="s">
        <v>38</v>
      </c>
      <c r="D137" s="30">
        <v>0</v>
      </c>
      <c r="E137" s="49">
        <f>E135+3</f>
        <v>46370</v>
      </c>
      <c r="F137" s="49">
        <f>E137+1</f>
        <v>46371</v>
      </c>
      <c r="G137" s="29"/>
      <c r="H137" s="29">
        <f t="shared" si="74"/>
        <v>2</v>
      </c>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4"/>
      <c r="DU137" s="4"/>
      <c r="DV137" s="4"/>
      <c r="DW137" s="4"/>
      <c r="DX137" s="4"/>
      <c r="DY137" s="4"/>
      <c r="DZ137" s="4"/>
      <c r="EA137" s="4"/>
      <c r="EB137" s="4"/>
      <c r="EC137" s="4"/>
      <c r="ED137" s="4"/>
    </row>
    <row r="138" spans="2:134" ht="30" customHeight="1" thickBot="1" x14ac:dyDescent="0.35">
      <c r="B138" s="77" t="s">
        <v>248</v>
      </c>
      <c r="C138" s="13" t="s">
        <v>38</v>
      </c>
      <c r="D138" s="30">
        <v>0</v>
      </c>
      <c r="E138" s="49">
        <f>E137</f>
        <v>46370</v>
      </c>
      <c r="F138" s="49">
        <f>E138+1</f>
        <v>46371</v>
      </c>
      <c r="G138" s="29"/>
      <c r="H138" s="29">
        <f t="shared" si="74"/>
        <v>2</v>
      </c>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c r="DP138" s="4"/>
      <c r="DQ138" s="4"/>
      <c r="DR138" s="4"/>
      <c r="DS138" s="4"/>
      <c r="DT138" s="4"/>
      <c r="DU138" s="4"/>
      <c r="DV138" s="4"/>
      <c r="DW138" s="4"/>
      <c r="DX138" s="4"/>
      <c r="DY138" s="4"/>
      <c r="DZ138" s="4"/>
      <c r="EA138" s="4"/>
      <c r="EB138" s="4"/>
      <c r="EC138" s="4"/>
      <c r="ED138" s="4"/>
    </row>
    <row r="139" spans="2:134" ht="30" customHeight="1" thickBot="1" x14ac:dyDescent="0.35">
      <c r="B139" s="57" t="s">
        <v>71</v>
      </c>
      <c r="C139" s="54" t="s">
        <v>38</v>
      </c>
      <c r="D139" s="55"/>
      <c r="E139" s="56"/>
      <c r="F139" s="56"/>
      <c r="G139" s="29"/>
      <c r="H139" s="29" t="str">
        <f t="shared" si="74"/>
        <v/>
      </c>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c r="DO139" s="4"/>
      <c r="DP139" s="4"/>
      <c r="DQ139" s="4"/>
      <c r="DR139" s="4"/>
      <c r="DS139" s="4"/>
      <c r="DT139" s="4"/>
      <c r="DU139" s="4"/>
      <c r="DV139" s="4"/>
      <c r="DW139" s="4"/>
      <c r="DX139" s="4"/>
      <c r="DY139" s="4"/>
      <c r="DZ139" s="4"/>
      <c r="EA139" s="4"/>
      <c r="EB139" s="4"/>
      <c r="EC139" s="4"/>
      <c r="ED139" s="4"/>
    </row>
    <row r="140" spans="2:134" ht="30" customHeight="1" thickBot="1" x14ac:dyDescent="0.35">
      <c r="B140" s="27" t="s">
        <v>109</v>
      </c>
      <c r="C140" s="12" t="s">
        <v>38</v>
      </c>
      <c r="D140" s="28"/>
      <c r="E140" s="47"/>
      <c r="F140" s="48"/>
      <c r="G140" s="29"/>
      <c r="H140" s="29" t="str">
        <f t="shared" si="74"/>
        <v/>
      </c>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c r="DR140" s="4"/>
      <c r="DS140" s="4"/>
      <c r="DT140" s="4"/>
      <c r="DU140" s="4"/>
      <c r="DV140" s="4"/>
      <c r="DW140" s="4"/>
      <c r="DX140" s="4"/>
      <c r="DY140" s="4"/>
      <c r="DZ140" s="4"/>
      <c r="EA140" s="4"/>
      <c r="EB140" s="4"/>
      <c r="EC140" s="4"/>
      <c r="ED140" s="4"/>
    </row>
    <row r="141" spans="2:134" ht="30" customHeight="1" thickBot="1" x14ac:dyDescent="0.35">
      <c r="B141" s="62" t="s">
        <v>110</v>
      </c>
      <c r="C141" s="13" t="s">
        <v>38</v>
      </c>
      <c r="D141" s="30">
        <v>0</v>
      </c>
      <c r="E141" s="49">
        <f>F138+1</f>
        <v>46372</v>
      </c>
      <c r="F141" s="49">
        <f>E141</f>
        <v>46372</v>
      </c>
      <c r="G141" s="29"/>
      <c r="H141" s="29">
        <f t="shared" si="74"/>
        <v>1</v>
      </c>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c r="DR141" s="4"/>
      <c r="DS141" s="4"/>
      <c r="DT141" s="4"/>
      <c r="DU141" s="4"/>
      <c r="DV141" s="4"/>
      <c r="DW141" s="4"/>
      <c r="DX141" s="4"/>
      <c r="DY141" s="4"/>
      <c r="DZ141" s="4"/>
      <c r="EA141" s="4"/>
      <c r="EB141" s="4"/>
      <c r="EC141" s="4"/>
      <c r="ED141" s="4"/>
    </row>
    <row r="142" spans="2:134" ht="30" customHeight="1" thickBot="1" x14ac:dyDescent="0.35">
      <c r="B142" s="62" t="s">
        <v>111</v>
      </c>
      <c r="C142" s="13" t="s">
        <v>38</v>
      </c>
      <c r="D142" s="30">
        <v>0</v>
      </c>
      <c r="E142" s="49">
        <f>F141</f>
        <v>46372</v>
      </c>
      <c r="F142" s="49">
        <f>E142</f>
        <v>46372</v>
      </c>
      <c r="G142" s="29"/>
      <c r="H142" s="29">
        <f t="shared" si="74"/>
        <v>1</v>
      </c>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4"/>
      <c r="DU142" s="4"/>
      <c r="DV142" s="4"/>
      <c r="DW142" s="4"/>
      <c r="DX142" s="4"/>
      <c r="DY142" s="4"/>
      <c r="DZ142" s="4"/>
      <c r="EA142" s="4"/>
      <c r="EB142" s="4"/>
      <c r="EC142" s="4"/>
      <c r="ED142" s="4"/>
    </row>
    <row r="143" spans="2:134" ht="30" customHeight="1" thickBot="1" x14ac:dyDescent="0.35">
      <c r="B143" s="62" t="s">
        <v>112</v>
      </c>
      <c r="C143" s="13" t="s">
        <v>38</v>
      </c>
      <c r="D143" s="30">
        <v>0</v>
      </c>
      <c r="E143" s="49">
        <f>F141</f>
        <v>46372</v>
      </c>
      <c r="F143" s="49">
        <f>E143</f>
        <v>46372</v>
      </c>
      <c r="G143" s="29"/>
      <c r="H143" s="29">
        <f t="shared" si="74"/>
        <v>1</v>
      </c>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c r="DP143" s="4"/>
      <c r="DQ143" s="4"/>
      <c r="DR143" s="4"/>
      <c r="DS143" s="4"/>
      <c r="DT143" s="4"/>
      <c r="DU143" s="4"/>
      <c r="DV143" s="4"/>
      <c r="DW143" s="4"/>
      <c r="DX143" s="4"/>
      <c r="DY143" s="4"/>
      <c r="DZ143" s="4"/>
      <c r="EA143" s="4"/>
      <c r="EB143" s="4"/>
      <c r="EC143" s="4"/>
      <c r="ED143" s="4"/>
    </row>
    <row r="144" spans="2:134" ht="30" customHeight="1" thickBot="1" x14ac:dyDescent="0.35">
      <c r="B144" s="27" t="s">
        <v>113</v>
      </c>
      <c r="C144" s="12" t="s">
        <v>38</v>
      </c>
      <c r="D144" s="28"/>
      <c r="E144" s="47"/>
      <c r="F144" s="48"/>
      <c r="G144" s="29"/>
      <c r="H144" s="29" t="str">
        <f t="shared" si="74"/>
        <v/>
      </c>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c r="DR144" s="4"/>
      <c r="DS144" s="4"/>
      <c r="DT144" s="4"/>
      <c r="DU144" s="4"/>
      <c r="DV144" s="4"/>
      <c r="DW144" s="4"/>
      <c r="DX144" s="4"/>
      <c r="DY144" s="4"/>
      <c r="DZ144" s="4"/>
      <c r="EA144" s="4"/>
      <c r="EB144" s="4"/>
      <c r="EC144" s="4"/>
      <c r="ED144" s="4"/>
    </row>
    <row r="145" spans="2:134" ht="30" customHeight="1" thickBot="1" x14ac:dyDescent="0.35">
      <c r="B145" s="62" t="s">
        <v>114</v>
      </c>
      <c r="C145" s="13" t="s">
        <v>38</v>
      </c>
      <c r="D145" s="30">
        <v>0</v>
      </c>
      <c r="E145" s="49">
        <f>F143+1</f>
        <v>46373</v>
      </c>
      <c r="F145" s="49">
        <f>E145</f>
        <v>46373</v>
      </c>
      <c r="G145" s="29"/>
      <c r="H145" s="29">
        <f t="shared" si="74"/>
        <v>1</v>
      </c>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c r="ED145" s="4"/>
    </row>
    <row r="146" spans="2:134" ht="30" customHeight="1" thickBot="1" x14ac:dyDescent="0.35">
      <c r="B146" s="62" t="s">
        <v>115</v>
      </c>
      <c r="C146" s="13" t="s">
        <v>38</v>
      </c>
      <c r="D146" s="30">
        <v>0</v>
      </c>
      <c r="E146" s="49">
        <f>F145</f>
        <v>46373</v>
      </c>
      <c r="F146" s="49">
        <f>E146+1</f>
        <v>46374</v>
      </c>
      <c r="G146" s="29"/>
      <c r="H146" s="29">
        <f t="shared" si="74"/>
        <v>2</v>
      </c>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c r="DM146" s="4"/>
      <c r="DN146" s="4"/>
      <c r="DO146" s="4"/>
      <c r="DP146" s="4"/>
      <c r="DQ146" s="4"/>
      <c r="DR146" s="4"/>
      <c r="DS146" s="4"/>
      <c r="DT146" s="4"/>
      <c r="DU146" s="4"/>
      <c r="DV146" s="4"/>
      <c r="DW146" s="4"/>
      <c r="DX146" s="4"/>
      <c r="DY146" s="4"/>
      <c r="DZ146" s="4"/>
      <c r="EA146" s="4"/>
      <c r="EB146" s="4"/>
      <c r="EC146" s="4"/>
      <c r="ED146" s="4"/>
    </row>
    <row r="147" spans="2:134" ht="30" customHeight="1" thickBot="1" x14ac:dyDescent="0.35">
      <c r="B147" s="62" t="s">
        <v>116</v>
      </c>
      <c r="C147" s="13" t="s">
        <v>38</v>
      </c>
      <c r="D147" s="30">
        <v>0</v>
      </c>
      <c r="E147" s="49">
        <f>F145+1</f>
        <v>46374</v>
      </c>
      <c r="F147" s="49">
        <f>E147</f>
        <v>46374</v>
      </c>
      <c r="G147" s="29"/>
      <c r="H147" s="29">
        <f t="shared" si="74"/>
        <v>1</v>
      </c>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c r="DP147" s="4"/>
      <c r="DQ147" s="4"/>
      <c r="DR147" s="4"/>
      <c r="DS147" s="4"/>
      <c r="DT147" s="4"/>
      <c r="DU147" s="4"/>
      <c r="DV147" s="4"/>
      <c r="DW147" s="4"/>
      <c r="DX147" s="4"/>
      <c r="DY147" s="4"/>
      <c r="DZ147" s="4"/>
      <c r="EA147" s="4"/>
      <c r="EB147" s="4"/>
      <c r="EC147" s="4"/>
      <c r="ED147" s="4"/>
    </row>
    <row r="148" spans="2:134" ht="30" customHeight="1" thickBot="1" x14ac:dyDescent="0.35">
      <c r="B148" s="57" t="s">
        <v>177</v>
      </c>
      <c r="C148" s="54" t="s">
        <v>38</v>
      </c>
      <c r="D148" s="55"/>
      <c r="E148" s="56"/>
      <c r="F148" s="56"/>
      <c r="G148" s="29"/>
      <c r="H148" s="29" t="str">
        <f t="shared" si="74"/>
        <v/>
      </c>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4"/>
      <c r="DU148" s="4"/>
      <c r="DV148" s="4"/>
      <c r="DW148" s="4"/>
      <c r="DX148" s="4"/>
      <c r="DY148" s="4"/>
      <c r="DZ148" s="4"/>
      <c r="EA148" s="4"/>
      <c r="EB148" s="4"/>
      <c r="EC148" s="4"/>
      <c r="ED148" s="4"/>
    </row>
    <row r="149" spans="2:134" ht="30" customHeight="1" thickBot="1" x14ac:dyDescent="0.35">
      <c r="B149" s="27" t="s">
        <v>178</v>
      </c>
      <c r="C149" s="12" t="s">
        <v>38</v>
      </c>
      <c r="D149" s="28"/>
      <c r="E149" s="47"/>
      <c r="F149" s="48"/>
      <c r="G149" s="29"/>
      <c r="H149" s="29" t="str">
        <f t="shared" si="74"/>
        <v/>
      </c>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4"/>
      <c r="DU149" s="4"/>
      <c r="DV149" s="4"/>
      <c r="DW149" s="4"/>
      <c r="DX149" s="4"/>
      <c r="DY149" s="4"/>
      <c r="DZ149" s="4"/>
      <c r="EA149" s="4"/>
      <c r="EB149" s="4"/>
      <c r="EC149" s="4"/>
      <c r="ED149" s="4"/>
    </row>
    <row r="150" spans="2:134" ht="30" customHeight="1" thickBot="1" x14ac:dyDescent="0.35">
      <c r="B150" s="62" t="s">
        <v>180</v>
      </c>
      <c r="C150" s="13" t="s">
        <v>38</v>
      </c>
      <c r="D150" s="30">
        <v>0</v>
      </c>
      <c r="E150" s="49">
        <f>F147+3</f>
        <v>46377</v>
      </c>
      <c r="F150" s="49">
        <f>E150</f>
        <v>46377</v>
      </c>
      <c r="G150" s="29"/>
      <c r="H150" s="29">
        <f t="shared" si="74"/>
        <v>1</v>
      </c>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c r="EB150" s="4"/>
      <c r="EC150" s="4"/>
      <c r="ED150" s="4"/>
    </row>
    <row r="151" spans="2:134" ht="30" customHeight="1" thickBot="1" x14ac:dyDescent="0.35">
      <c r="B151" s="62" t="s">
        <v>181</v>
      </c>
      <c r="C151" s="13" t="s">
        <v>38</v>
      </c>
      <c r="D151" s="30">
        <v>0</v>
      </c>
      <c r="E151" s="49">
        <f>F150</f>
        <v>46377</v>
      </c>
      <c r="F151" s="49">
        <f>E151</f>
        <v>46377</v>
      </c>
      <c r="G151" s="29"/>
      <c r="H151" s="29">
        <f t="shared" ref="H151:H214" si="75">IF(OR(ISBLANK(タスク_開始),ISBLANK(タスク_終了)),"",タスク_終了-タスク_開始+1)</f>
        <v>1</v>
      </c>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c r="DR151" s="4"/>
      <c r="DS151" s="4"/>
      <c r="DT151" s="4"/>
      <c r="DU151" s="4"/>
      <c r="DV151" s="4"/>
      <c r="DW151" s="4"/>
      <c r="DX151" s="4"/>
      <c r="DY151" s="4"/>
      <c r="DZ151" s="4"/>
      <c r="EA151" s="4"/>
      <c r="EB151" s="4"/>
      <c r="EC151" s="4"/>
      <c r="ED151" s="4"/>
    </row>
    <row r="152" spans="2:134" ht="30" customHeight="1" thickBot="1" x14ac:dyDescent="0.35">
      <c r="B152" s="62" t="s">
        <v>182</v>
      </c>
      <c r="C152" s="13" t="s">
        <v>38</v>
      </c>
      <c r="D152" s="30">
        <v>0</v>
      </c>
      <c r="E152" s="49">
        <f>F150+1</f>
        <v>46378</v>
      </c>
      <c r="F152" s="49">
        <f>E152</f>
        <v>46378</v>
      </c>
      <c r="G152" s="29"/>
      <c r="H152" s="29">
        <f t="shared" si="75"/>
        <v>1</v>
      </c>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c r="DR152" s="4"/>
      <c r="DS152" s="4"/>
      <c r="DT152" s="4"/>
      <c r="DU152" s="4"/>
      <c r="DV152" s="4"/>
      <c r="DW152" s="4"/>
      <c r="DX152" s="4"/>
      <c r="DY152" s="4"/>
      <c r="DZ152" s="4"/>
      <c r="EA152" s="4"/>
      <c r="EB152" s="4"/>
      <c r="EC152" s="4"/>
      <c r="ED152" s="4"/>
    </row>
    <row r="153" spans="2:134" ht="30" customHeight="1" thickBot="1" x14ac:dyDescent="0.35">
      <c r="B153" s="62" t="s">
        <v>88</v>
      </c>
      <c r="C153" s="13" t="s">
        <v>38</v>
      </c>
      <c r="D153" s="30">
        <v>0</v>
      </c>
      <c r="E153" s="49">
        <f>F152</f>
        <v>46378</v>
      </c>
      <c r="F153" s="49">
        <f>E153</f>
        <v>46378</v>
      </c>
      <c r="G153" s="29"/>
      <c r="H153" s="29">
        <f t="shared" si="75"/>
        <v>1</v>
      </c>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c r="DR153" s="4"/>
      <c r="DS153" s="4"/>
      <c r="DT153" s="4"/>
      <c r="DU153" s="4"/>
      <c r="DV153" s="4"/>
      <c r="DW153" s="4"/>
      <c r="DX153" s="4"/>
      <c r="DY153" s="4"/>
      <c r="DZ153" s="4"/>
      <c r="EA153" s="4"/>
      <c r="EB153" s="4"/>
      <c r="EC153" s="4"/>
      <c r="ED153" s="4"/>
    </row>
    <row r="154" spans="2:134" ht="30" customHeight="1" thickBot="1" x14ac:dyDescent="0.35">
      <c r="B154" s="62" t="s">
        <v>183</v>
      </c>
      <c r="C154" s="13" t="s">
        <v>38</v>
      </c>
      <c r="D154" s="30">
        <v>0</v>
      </c>
      <c r="E154" s="49">
        <f>F152</f>
        <v>46378</v>
      </c>
      <c r="F154" s="49">
        <f>E154</f>
        <v>46378</v>
      </c>
      <c r="G154" s="29"/>
      <c r="H154" s="29">
        <f t="shared" si="75"/>
        <v>1</v>
      </c>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4"/>
      <c r="DU154" s="4"/>
      <c r="DV154" s="4"/>
      <c r="DW154" s="4"/>
      <c r="DX154" s="4"/>
      <c r="DY154" s="4"/>
      <c r="DZ154" s="4"/>
      <c r="EA154" s="4"/>
      <c r="EB154" s="4"/>
      <c r="EC154" s="4"/>
      <c r="ED154" s="4"/>
    </row>
    <row r="155" spans="2:134" ht="30" customHeight="1" thickBot="1" x14ac:dyDescent="0.35">
      <c r="B155" s="27" t="s">
        <v>179</v>
      </c>
      <c r="C155" s="12" t="s">
        <v>38</v>
      </c>
      <c r="D155" s="28"/>
      <c r="E155" s="47"/>
      <c r="F155" s="48"/>
      <c r="G155" s="29"/>
      <c r="H155" s="29" t="str">
        <f t="shared" si="75"/>
        <v/>
      </c>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4"/>
      <c r="EA155" s="4"/>
      <c r="EB155" s="4"/>
      <c r="EC155" s="4"/>
      <c r="ED155" s="4"/>
    </row>
    <row r="156" spans="2:134" ht="30" customHeight="1" thickBot="1" x14ac:dyDescent="0.35">
      <c r="B156" s="62" t="s">
        <v>180</v>
      </c>
      <c r="C156" s="13" t="s">
        <v>38</v>
      </c>
      <c r="D156" s="30">
        <v>0</v>
      </c>
      <c r="E156" s="49">
        <f>F154+1</f>
        <v>46379</v>
      </c>
      <c r="F156" s="49">
        <f>E156</f>
        <v>46379</v>
      </c>
      <c r="G156" s="29"/>
      <c r="H156" s="29">
        <f t="shared" si="75"/>
        <v>1</v>
      </c>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c r="DR156" s="4"/>
      <c r="DS156" s="4"/>
      <c r="DT156" s="4"/>
      <c r="DU156" s="4"/>
      <c r="DV156" s="4"/>
      <c r="DW156" s="4"/>
      <c r="DX156" s="4"/>
      <c r="DY156" s="4"/>
      <c r="DZ156" s="4"/>
      <c r="EA156" s="4"/>
      <c r="EB156" s="4"/>
      <c r="EC156" s="4"/>
      <c r="ED156" s="4"/>
    </row>
    <row r="157" spans="2:134" ht="30" customHeight="1" thickBot="1" x14ac:dyDescent="0.35">
      <c r="B157" s="62" t="s">
        <v>181</v>
      </c>
      <c r="C157" s="13" t="s">
        <v>38</v>
      </c>
      <c r="D157" s="30">
        <v>0</v>
      </c>
      <c r="E157" s="49">
        <f>F156</f>
        <v>46379</v>
      </c>
      <c r="F157" s="49">
        <f>E157</f>
        <v>46379</v>
      </c>
      <c r="G157" s="29"/>
      <c r="H157" s="29">
        <f t="shared" si="75"/>
        <v>1</v>
      </c>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c r="DZ157" s="4"/>
      <c r="EA157" s="4"/>
      <c r="EB157" s="4"/>
      <c r="EC157" s="4"/>
      <c r="ED157" s="4"/>
    </row>
    <row r="158" spans="2:134" ht="30" customHeight="1" thickBot="1" x14ac:dyDescent="0.35">
      <c r="B158" s="62" t="s">
        <v>182</v>
      </c>
      <c r="C158" s="13" t="s">
        <v>38</v>
      </c>
      <c r="D158" s="30">
        <v>0</v>
      </c>
      <c r="E158" s="49">
        <f>F156+1</f>
        <v>46380</v>
      </c>
      <c r="F158" s="49">
        <f>E158</f>
        <v>46380</v>
      </c>
      <c r="G158" s="29"/>
      <c r="H158" s="29">
        <f t="shared" si="75"/>
        <v>1</v>
      </c>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4"/>
      <c r="DU158" s="4"/>
      <c r="DV158" s="4"/>
      <c r="DW158" s="4"/>
      <c r="DX158" s="4"/>
      <c r="DY158" s="4"/>
      <c r="DZ158" s="4"/>
      <c r="EA158" s="4"/>
      <c r="EB158" s="4"/>
      <c r="EC158" s="4"/>
      <c r="ED158" s="4"/>
    </row>
    <row r="159" spans="2:134" ht="30" customHeight="1" thickBot="1" x14ac:dyDescent="0.35">
      <c r="B159" s="62" t="s">
        <v>88</v>
      </c>
      <c r="C159" s="13" t="s">
        <v>38</v>
      </c>
      <c r="D159" s="30">
        <v>0</v>
      </c>
      <c r="E159" s="49">
        <f>F158</f>
        <v>46380</v>
      </c>
      <c r="F159" s="49">
        <f>E159</f>
        <v>46380</v>
      </c>
      <c r="G159" s="29"/>
      <c r="H159" s="29">
        <f t="shared" si="75"/>
        <v>1</v>
      </c>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c r="DR159" s="4"/>
      <c r="DS159" s="4"/>
      <c r="DT159" s="4"/>
      <c r="DU159" s="4"/>
      <c r="DV159" s="4"/>
      <c r="DW159" s="4"/>
      <c r="DX159" s="4"/>
      <c r="DY159" s="4"/>
      <c r="DZ159" s="4"/>
      <c r="EA159" s="4"/>
      <c r="EB159" s="4"/>
      <c r="EC159" s="4"/>
      <c r="ED159" s="4"/>
    </row>
    <row r="160" spans="2:134" ht="30" customHeight="1" thickBot="1" x14ac:dyDescent="0.35">
      <c r="B160" s="62" t="s">
        <v>184</v>
      </c>
      <c r="C160" s="13" t="s">
        <v>38</v>
      </c>
      <c r="D160" s="30">
        <v>0</v>
      </c>
      <c r="E160" s="49">
        <f>F159</f>
        <v>46380</v>
      </c>
      <c r="F160" s="49">
        <f>E160</f>
        <v>46380</v>
      </c>
      <c r="G160" s="29"/>
      <c r="H160" s="29">
        <f t="shared" si="75"/>
        <v>1</v>
      </c>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c r="DR160" s="4"/>
      <c r="DS160" s="4"/>
      <c r="DT160" s="4"/>
      <c r="DU160" s="4"/>
      <c r="DV160" s="4"/>
      <c r="DW160" s="4"/>
      <c r="DX160" s="4"/>
      <c r="DY160" s="4"/>
      <c r="DZ160" s="4"/>
      <c r="EA160" s="4"/>
      <c r="EB160" s="4"/>
      <c r="EC160" s="4"/>
      <c r="ED160" s="4"/>
    </row>
    <row r="161" spans="2:134" ht="30" customHeight="1" thickBot="1" x14ac:dyDescent="0.35">
      <c r="B161" s="27" t="s">
        <v>185</v>
      </c>
      <c r="C161" s="12" t="s">
        <v>38</v>
      </c>
      <c r="D161" s="28"/>
      <c r="E161" s="47"/>
      <c r="F161" s="48"/>
      <c r="G161" s="29"/>
      <c r="H161" s="29" t="str">
        <f t="shared" si="75"/>
        <v/>
      </c>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c r="DO161" s="4"/>
      <c r="DP161" s="4"/>
      <c r="DQ161" s="4"/>
      <c r="DR161" s="4"/>
      <c r="DS161" s="4"/>
      <c r="DT161" s="4"/>
      <c r="DU161" s="4"/>
      <c r="DV161" s="4"/>
      <c r="DW161" s="4"/>
      <c r="DX161" s="4"/>
      <c r="DY161" s="4"/>
      <c r="DZ161" s="4"/>
      <c r="EA161" s="4"/>
      <c r="EB161" s="4"/>
      <c r="EC161" s="4"/>
      <c r="ED161" s="4"/>
    </row>
    <row r="162" spans="2:134" ht="30" customHeight="1" thickBot="1" x14ac:dyDescent="0.35">
      <c r="B162" s="62" t="s">
        <v>180</v>
      </c>
      <c r="C162" s="13" t="s">
        <v>38</v>
      </c>
      <c r="D162" s="30">
        <v>0</v>
      </c>
      <c r="E162" s="49">
        <f>F160+1</f>
        <v>46381</v>
      </c>
      <c r="F162" s="49">
        <f>E162</f>
        <v>46381</v>
      </c>
      <c r="G162" s="29"/>
      <c r="H162" s="29">
        <f t="shared" si="75"/>
        <v>1</v>
      </c>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c r="DM162" s="4"/>
      <c r="DN162" s="4"/>
      <c r="DO162" s="4"/>
      <c r="DP162" s="4"/>
      <c r="DQ162" s="4"/>
      <c r="DR162" s="4"/>
      <c r="DS162" s="4"/>
      <c r="DT162" s="4"/>
      <c r="DU162" s="4"/>
      <c r="DV162" s="4"/>
      <c r="DW162" s="4"/>
      <c r="DX162" s="4"/>
      <c r="DY162" s="4"/>
      <c r="DZ162" s="4"/>
      <c r="EA162" s="4"/>
      <c r="EB162" s="4"/>
      <c r="EC162" s="4"/>
      <c r="ED162" s="4"/>
    </row>
    <row r="163" spans="2:134" ht="30" customHeight="1" thickBot="1" x14ac:dyDescent="0.35">
      <c r="B163" s="62" t="s">
        <v>181</v>
      </c>
      <c r="C163" s="13" t="s">
        <v>38</v>
      </c>
      <c r="D163" s="30">
        <v>0</v>
      </c>
      <c r="E163" s="49">
        <f>F162</f>
        <v>46381</v>
      </c>
      <c r="F163" s="49">
        <f>E163</f>
        <v>46381</v>
      </c>
      <c r="G163" s="29"/>
      <c r="H163" s="29">
        <f t="shared" si="75"/>
        <v>1</v>
      </c>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c r="DO163" s="4"/>
      <c r="DP163" s="4"/>
      <c r="DQ163" s="4"/>
      <c r="DR163" s="4"/>
      <c r="DS163" s="4"/>
      <c r="DT163" s="4"/>
      <c r="DU163" s="4"/>
      <c r="DV163" s="4"/>
      <c r="DW163" s="4"/>
      <c r="DX163" s="4"/>
      <c r="DY163" s="4"/>
      <c r="DZ163" s="4"/>
      <c r="EA163" s="4"/>
      <c r="EB163" s="4"/>
      <c r="EC163" s="4"/>
      <c r="ED163" s="4"/>
    </row>
    <row r="164" spans="2:134" ht="30" customHeight="1" thickBot="1" x14ac:dyDescent="0.35">
      <c r="B164" s="62" t="s">
        <v>186</v>
      </c>
      <c r="C164" s="13" t="s">
        <v>38</v>
      </c>
      <c r="D164" s="30">
        <v>0</v>
      </c>
      <c r="E164" s="49">
        <f>F162+3</f>
        <v>46384</v>
      </c>
      <c r="F164" s="49">
        <f>E164+1</f>
        <v>46385</v>
      </c>
      <c r="G164" s="29"/>
      <c r="H164" s="29">
        <f t="shared" si="75"/>
        <v>2</v>
      </c>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c r="DM164" s="4"/>
      <c r="DN164" s="4"/>
      <c r="DO164" s="4"/>
      <c r="DP164" s="4"/>
      <c r="DQ164" s="4"/>
      <c r="DR164" s="4"/>
      <c r="DS164" s="4"/>
      <c r="DT164" s="4"/>
      <c r="DU164" s="4"/>
      <c r="DV164" s="4"/>
      <c r="DW164" s="4"/>
      <c r="DX164" s="4"/>
      <c r="DY164" s="4"/>
      <c r="DZ164" s="4"/>
      <c r="EA164" s="4"/>
      <c r="EB164" s="4"/>
      <c r="EC164" s="4"/>
      <c r="ED164" s="4"/>
    </row>
    <row r="165" spans="2:134" ht="30" customHeight="1" thickBot="1" x14ac:dyDescent="0.35">
      <c r="B165" s="62" t="s">
        <v>88</v>
      </c>
      <c r="C165" s="13" t="s">
        <v>38</v>
      </c>
      <c r="D165" s="30">
        <v>0</v>
      </c>
      <c r="E165" s="49">
        <f>F164</f>
        <v>46385</v>
      </c>
      <c r="F165" s="49">
        <f>E165</f>
        <v>46385</v>
      </c>
      <c r="G165" s="29"/>
      <c r="H165" s="29">
        <f t="shared" si="75"/>
        <v>1</v>
      </c>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c r="DM165" s="4"/>
      <c r="DN165" s="4"/>
      <c r="DO165" s="4"/>
      <c r="DP165" s="4"/>
      <c r="DQ165" s="4"/>
      <c r="DR165" s="4"/>
      <c r="DS165" s="4"/>
      <c r="DT165" s="4"/>
      <c r="DU165" s="4"/>
      <c r="DV165" s="4"/>
      <c r="DW165" s="4"/>
      <c r="DX165" s="4"/>
      <c r="DY165" s="4"/>
      <c r="DZ165" s="4"/>
      <c r="EA165" s="4"/>
      <c r="EB165" s="4"/>
      <c r="EC165" s="4"/>
      <c r="ED165" s="4"/>
    </row>
    <row r="166" spans="2:134" ht="30" customHeight="1" thickBot="1" x14ac:dyDescent="0.35">
      <c r="B166" s="62" t="s">
        <v>187</v>
      </c>
      <c r="C166" s="13" t="s">
        <v>38</v>
      </c>
      <c r="D166" s="30">
        <v>0</v>
      </c>
      <c r="E166" s="49">
        <f>F164</f>
        <v>46385</v>
      </c>
      <c r="F166" s="49">
        <f>E166</f>
        <v>46385</v>
      </c>
      <c r="G166" s="29"/>
      <c r="H166" s="29">
        <f t="shared" si="75"/>
        <v>1</v>
      </c>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c r="DO166" s="4"/>
      <c r="DP166" s="4"/>
      <c r="DQ166" s="4"/>
      <c r="DR166" s="4"/>
      <c r="DS166" s="4"/>
      <c r="DT166" s="4"/>
      <c r="DU166" s="4"/>
      <c r="DV166" s="4"/>
      <c r="DW166" s="4"/>
      <c r="DX166" s="4"/>
      <c r="DY166" s="4"/>
      <c r="DZ166" s="4"/>
      <c r="EA166" s="4"/>
      <c r="EB166" s="4"/>
      <c r="EC166" s="4"/>
      <c r="ED166" s="4"/>
    </row>
    <row r="167" spans="2:134" ht="30" customHeight="1" thickBot="1" x14ac:dyDescent="0.35">
      <c r="B167" s="27" t="s">
        <v>188</v>
      </c>
      <c r="C167" s="12" t="s">
        <v>38</v>
      </c>
      <c r="D167" s="28"/>
      <c r="E167" s="47"/>
      <c r="F167" s="48"/>
      <c r="G167" s="29"/>
      <c r="H167" s="29" t="str">
        <f t="shared" si="75"/>
        <v/>
      </c>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c r="DP167" s="4"/>
      <c r="DQ167" s="4"/>
      <c r="DR167" s="4"/>
      <c r="DS167" s="4"/>
      <c r="DT167" s="4"/>
      <c r="DU167" s="4"/>
      <c r="DV167" s="4"/>
      <c r="DW167" s="4"/>
      <c r="DX167" s="4"/>
      <c r="DY167" s="4"/>
      <c r="DZ167" s="4"/>
      <c r="EA167" s="4"/>
      <c r="EB167" s="4"/>
      <c r="EC167" s="4"/>
      <c r="ED167" s="4"/>
    </row>
    <row r="168" spans="2:134" ht="30" customHeight="1" thickBot="1" x14ac:dyDescent="0.35">
      <c r="B168" s="62" t="s">
        <v>180</v>
      </c>
      <c r="C168" s="13" t="s">
        <v>38</v>
      </c>
      <c r="D168" s="30">
        <v>0</v>
      </c>
      <c r="E168" s="49">
        <f>F166+1</f>
        <v>46386</v>
      </c>
      <c r="F168" s="49">
        <f>E168+1</f>
        <v>46387</v>
      </c>
      <c r="G168" s="29"/>
      <c r="H168" s="29">
        <f t="shared" si="75"/>
        <v>2</v>
      </c>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4"/>
      <c r="DU168" s="4"/>
      <c r="DV168" s="4"/>
      <c r="DW168" s="4"/>
      <c r="DX168" s="4"/>
      <c r="DY168" s="4"/>
      <c r="DZ168" s="4"/>
      <c r="EA168" s="4"/>
      <c r="EB168" s="4"/>
      <c r="EC168" s="4"/>
      <c r="ED168" s="4"/>
    </row>
    <row r="169" spans="2:134" ht="30" customHeight="1" thickBot="1" x14ac:dyDescent="0.35">
      <c r="B169" s="62" t="s">
        <v>181</v>
      </c>
      <c r="C169" s="13" t="s">
        <v>38</v>
      </c>
      <c r="D169" s="30">
        <v>0</v>
      </c>
      <c r="E169" s="49">
        <f>F168</f>
        <v>46387</v>
      </c>
      <c r="F169" s="49">
        <f>E169</f>
        <v>46387</v>
      </c>
      <c r="G169" s="29"/>
      <c r="H169" s="29">
        <f t="shared" si="75"/>
        <v>1</v>
      </c>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4"/>
      <c r="EA169" s="4"/>
      <c r="EB169" s="4"/>
      <c r="EC169" s="4"/>
      <c r="ED169" s="4"/>
    </row>
    <row r="170" spans="2:134" ht="30" customHeight="1" thickBot="1" x14ac:dyDescent="0.35">
      <c r="B170" s="62" t="s">
        <v>186</v>
      </c>
      <c r="C170" s="13" t="s">
        <v>38</v>
      </c>
      <c r="D170" s="30">
        <v>0</v>
      </c>
      <c r="E170" s="49">
        <f>F168+1</f>
        <v>46388</v>
      </c>
      <c r="F170" s="49">
        <f>E170+3</f>
        <v>46391</v>
      </c>
      <c r="G170" s="29"/>
      <c r="H170" s="29">
        <f t="shared" si="75"/>
        <v>4</v>
      </c>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c r="DO170" s="4"/>
      <c r="DP170" s="4"/>
      <c r="DQ170" s="4"/>
      <c r="DR170" s="4"/>
      <c r="DS170" s="4"/>
      <c r="DT170" s="4"/>
      <c r="DU170" s="4"/>
      <c r="DV170" s="4"/>
      <c r="DW170" s="4"/>
      <c r="DX170" s="4"/>
      <c r="DY170" s="4"/>
      <c r="DZ170" s="4"/>
      <c r="EA170" s="4"/>
      <c r="EB170" s="4"/>
      <c r="EC170" s="4"/>
      <c r="ED170" s="4"/>
    </row>
    <row r="171" spans="2:134" ht="30" customHeight="1" thickBot="1" x14ac:dyDescent="0.35">
      <c r="B171" s="62" t="s">
        <v>88</v>
      </c>
      <c r="C171" s="13" t="s">
        <v>38</v>
      </c>
      <c r="D171" s="30">
        <v>0</v>
      </c>
      <c r="E171" s="49">
        <f>F170</f>
        <v>46391</v>
      </c>
      <c r="F171" s="49">
        <f>E171</f>
        <v>46391</v>
      </c>
      <c r="G171" s="29"/>
      <c r="H171" s="29">
        <f t="shared" si="75"/>
        <v>1</v>
      </c>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c r="DM171" s="4"/>
      <c r="DN171" s="4"/>
      <c r="DO171" s="4"/>
      <c r="DP171" s="4"/>
      <c r="DQ171" s="4"/>
      <c r="DR171" s="4"/>
      <c r="DS171" s="4"/>
      <c r="DT171" s="4"/>
      <c r="DU171" s="4"/>
      <c r="DV171" s="4"/>
      <c r="DW171" s="4"/>
      <c r="DX171" s="4"/>
      <c r="DY171" s="4"/>
      <c r="DZ171" s="4"/>
      <c r="EA171" s="4"/>
      <c r="EB171" s="4"/>
      <c r="EC171" s="4"/>
      <c r="ED171" s="4"/>
    </row>
    <row r="172" spans="2:134" ht="30" customHeight="1" thickBot="1" x14ac:dyDescent="0.35">
      <c r="B172" s="62" t="s">
        <v>189</v>
      </c>
      <c r="C172" s="13" t="s">
        <v>38</v>
      </c>
      <c r="D172" s="30">
        <v>0</v>
      </c>
      <c r="E172" s="49">
        <f>F170</f>
        <v>46391</v>
      </c>
      <c r="F172" s="49">
        <f>E172</f>
        <v>46391</v>
      </c>
      <c r="G172" s="29"/>
      <c r="H172" s="29">
        <f t="shared" si="75"/>
        <v>1</v>
      </c>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c r="DM172" s="4"/>
      <c r="DN172" s="4"/>
      <c r="DO172" s="4"/>
      <c r="DP172" s="4"/>
      <c r="DQ172" s="4"/>
      <c r="DR172" s="4"/>
      <c r="DS172" s="4"/>
      <c r="DT172" s="4"/>
      <c r="DU172" s="4"/>
      <c r="DV172" s="4"/>
      <c r="DW172" s="4"/>
      <c r="DX172" s="4"/>
      <c r="DY172" s="4"/>
      <c r="DZ172" s="4"/>
      <c r="EA172" s="4"/>
      <c r="EB172" s="4"/>
      <c r="EC172" s="4"/>
      <c r="ED172" s="4"/>
    </row>
    <row r="173" spans="2:134" ht="30" customHeight="1" thickBot="1" x14ac:dyDescent="0.35">
      <c r="B173" s="57" t="s">
        <v>190</v>
      </c>
      <c r="C173" s="54" t="s">
        <v>38</v>
      </c>
      <c r="D173" s="55"/>
      <c r="E173" s="56"/>
      <c r="F173" s="56"/>
      <c r="G173" s="29"/>
      <c r="H173" s="29" t="str">
        <f t="shared" si="75"/>
        <v/>
      </c>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c r="DM173" s="4"/>
      <c r="DN173" s="4"/>
      <c r="DO173" s="4"/>
      <c r="DP173" s="4"/>
      <c r="DQ173" s="4"/>
      <c r="DR173" s="4"/>
      <c r="DS173" s="4"/>
      <c r="DT173" s="4"/>
      <c r="DU173" s="4"/>
      <c r="DV173" s="4"/>
      <c r="DW173" s="4"/>
      <c r="DX173" s="4"/>
      <c r="DY173" s="4"/>
      <c r="DZ173" s="4"/>
      <c r="EA173" s="4"/>
      <c r="EB173" s="4"/>
      <c r="EC173" s="4"/>
      <c r="ED173" s="4"/>
    </row>
    <row r="174" spans="2:134" ht="30" customHeight="1" thickBot="1" x14ac:dyDescent="0.35">
      <c r="B174" s="27" t="s">
        <v>191</v>
      </c>
      <c r="C174" s="12" t="s">
        <v>38</v>
      </c>
      <c r="D174" s="28"/>
      <c r="E174" s="47"/>
      <c r="F174" s="48"/>
      <c r="G174" s="29"/>
      <c r="H174" s="29" t="str">
        <f t="shared" si="75"/>
        <v/>
      </c>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c r="DR174" s="4"/>
      <c r="DS174" s="4"/>
      <c r="DT174" s="4"/>
      <c r="DU174" s="4"/>
      <c r="DV174" s="4"/>
      <c r="DW174" s="4"/>
      <c r="DX174" s="4"/>
      <c r="DY174" s="4"/>
      <c r="DZ174" s="4"/>
      <c r="EA174" s="4"/>
      <c r="EB174" s="4"/>
      <c r="EC174" s="4"/>
      <c r="ED174" s="4"/>
    </row>
    <row r="175" spans="2:134" ht="30" customHeight="1" thickBot="1" x14ac:dyDescent="0.35">
      <c r="B175" s="62" t="s">
        <v>192</v>
      </c>
      <c r="C175" s="13" t="s">
        <v>38</v>
      </c>
      <c r="D175" s="30">
        <v>0</v>
      </c>
      <c r="E175" s="49">
        <f>F172+1</f>
        <v>46392</v>
      </c>
      <c r="F175" s="49">
        <f>E175+1</f>
        <v>46393</v>
      </c>
      <c r="G175" s="29"/>
      <c r="H175" s="29">
        <f t="shared" si="75"/>
        <v>2</v>
      </c>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c r="DM175" s="4"/>
      <c r="DN175" s="4"/>
      <c r="DO175" s="4"/>
      <c r="DP175" s="4"/>
      <c r="DQ175" s="4"/>
      <c r="DR175" s="4"/>
      <c r="DS175" s="4"/>
      <c r="DT175" s="4"/>
      <c r="DU175" s="4"/>
      <c r="DV175" s="4"/>
      <c r="DW175" s="4"/>
      <c r="DX175" s="4"/>
      <c r="DY175" s="4"/>
      <c r="DZ175" s="4"/>
      <c r="EA175" s="4"/>
      <c r="EB175" s="4"/>
      <c r="EC175" s="4"/>
      <c r="ED175" s="4"/>
    </row>
    <row r="176" spans="2:134" ht="30" customHeight="1" thickBot="1" x14ac:dyDescent="0.35">
      <c r="B176" s="62" t="s">
        <v>193</v>
      </c>
      <c r="C176" s="13" t="s">
        <v>38</v>
      </c>
      <c r="D176" s="30">
        <v>0</v>
      </c>
      <c r="E176" s="49">
        <f>F175</f>
        <v>46393</v>
      </c>
      <c r="F176" s="49">
        <f>E176</f>
        <v>46393</v>
      </c>
      <c r="G176" s="29"/>
      <c r="H176" s="29">
        <f t="shared" si="75"/>
        <v>1</v>
      </c>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c r="DM176" s="4"/>
      <c r="DN176" s="4"/>
      <c r="DO176" s="4"/>
      <c r="DP176" s="4"/>
      <c r="DQ176" s="4"/>
      <c r="DR176" s="4"/>
      <c r="DS176" s="4"/>
      <c r="DT176" s="4"/>
      <c r="DU176" s="4"/>
      <c r="DV176" s="4"/>
      <c r="DW176" s="4"/>
      <c r="DX176" s="4"/>
      <c r="DY176" s="4"/>
      <c r="DZ176" s="4"/>
      <c r="EA176" s="4"/>
      <c r="EB176" s="4"/>
      <c r="EC176" s="4"/>
      <c r="ED176" s="4"/>
    </row>
    <row r="177" spans="2:134" ht="30" customHeight="1" thickBot="1" x14ac:dyDescent="0.35">
      <c r="B177" s="27" t="s">
        <v>194</v>
      </c>
      <c r="C177" s="12" t="s">
        <v>38</v>
      </c>
      <c r="D177" s="28"/>
      <c r="E177" s="47"/>
      <c r="F177" s="48"/>
      <c r="G177" s="29"/>
      <c r="H177" s="29" t="str">
        <f t="shared" si="75"/>
        <v/>
      </c>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c r="DM177" s="4"/>
      <c r="DN177" s="4"/>
      <c r="DO177" s="4"/>
      <c r="DP177" s="4"/>
      <c r="DQ177" s="4"/>
      <c r="DR177" s="4"/>
      <c r="DS177" s="4"/>
      <c r="DT177" s="4"/>
      <c r="DU177" s="4"/>
      <c r="DV177" s="4"/>
      <c r="DW177" s="4"/>
      <c r="DX177" s="4"/>
      <c r="DY177" s="4"/>
      <c r="DZ177" s="4"/>
      <c r="EA177" s="4"/>
      <c r="EB177" s="4"/>
      <c r="EC177" s="4"/>
      <c r="ED177" s="4"/>
    </row>
    <row r="178" spans="2:134" ht="30" customHeight="1" thickBot="1" x14ac:dyDescent="0.35">
      <c r="B178" s="62" t="s">
        <v>195</v>
      </c>
      <c r="C178" s="13" t="s">
        <v>38</v>
      </c>
      <c r="D178" s="30">
        <v>0</v>
      </c>
      <c r="E178" s="49">
        <f>F176</f>
        <v>46393</v>
      </c>
      <c r="F178" s="49">
        <f>E178</f>
        <v>46393</v>
      </c>
      <c r="G178" s="29"/>
      <c r="H178" s="29">
        <f t="shared" si="75"/>
        <v>1</v>
      </c>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c r="DM178" s="4"/>
      <c r="DN178" s="4"/>
      <c r="DO178" s="4"/>
      <c r="DP178" s="4"/>
      <c r="DQ178" s="4"/>
      <c r="DR178" s="4"/>
      <c r="DS178" s="4"/>
      <c r="DT178" s="4"/>
      <c r="DU178" s="4"/>
      <c r="DV178" s="4"/>
      <c r="DW178" s="4"/>
      <c r="DX178" s="4"/>
      <c r="DY178" s="4"/>
      <c r="DZ178" s="4"/>
      <c r="EA178" s="4"/>
      <c r="EB178" s="4"/>
      <c r="EC178" s="4"/>
      <c r="ED178" s="4"/>
    </row>
    <row r="179" spans="2:134" ht="30" customHeight="1" thickBot="1" x14ac:dyDescent="0.35">
      <c r="B179" s="27" t="s">
        <v>196</v>
      </c>
      <c r="C179" s="12" t="s">
        <v>38</v>
      </c>
      <c r="D179" s="28"/>
      <c r="E179" s="47"/>
      <c r="F179" s="48"/>
      <c r="G179" s="29"/>
      <c r="H179" s="29" t="str">
        <f t="shared" si="75"/>
        <v/>
      </c>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c r="DM179" s="4"/>
      <c r="DN179" s="4"/>
      <c r="DO179" s="4"/>
      <c r="DP179" s="4"/>
      <c r="DQ179" s="4"/>
      <c r="DR179" s="4"/>
      <c r="DS179" s="4"/>
      <c r="DT179" s="4"/>
      <c r="DU179" s="4"/>
      <c r="DV179" s="4"/>
      <c r="DW179" s="4"/>
      <c r="DX179" s="4"/>
      <c r="DY179" s="4"/>
      <c r="DZ179" s="4"/>
      <c r="EA179" s="4"/>
      <c r="EB179" s="4"/>
      <c r="EC179" s="4"/>
      <c r="ED179" s="4"/>
    </row>
    <row r="180" spans="2:134" ht="30" customHeight="1" thickBot="1" x14ac:dyDescent="0.35">
      <c r="B180" s="62" t="s">
        <v>197</v>
      </c>
      <c r="C180" s="13" t="s">
        <v>38</v>
      </c>
      <c r="D180" s="30">
        <v>0</v>
      </c>
      <c r="E180" s="49">
        <f>F178+1</f>
        <v>46394</v>
      </c>
      <c r="F180" s="49">
        <f>E180</f>
        <v>46394</v>
      </c>
      <c r="G180" s="29"/>
      <c r="H180" s="29">
        <f t="shared" si="75"/>
        <v>1</v>
      </c>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c r="DR180" s="4"/>
      <c r="DS180" s="4"/>
      <c r="DT180" s="4"/>
      <c r="DU180" s="4"/>
      <c r="DV180" s="4"/>
      <c r="DW180" s="4"/>
      <c r="DX180" s="4"/>
      <c r="DY180" s="4"/>
      <c r="DZ180" s="4"/>
      <c r="EA180" s="4"/>
      <c r="EB180" s="4"/>
      <c r="EC180" s="4"/>
      <c r="ED180" s="4"/>
    </row>
    <row r="181" spans="2:134" ht="30" customHeight="1" thickBot="1" x14ac:dyDescent="0.35">
      <c r="B181" s="62" t="s">
        <v>198</v>
      </c>
      <c r="C181" s="13" t="s">
        <v>38</v>
      </c>
      <c r="D181" s="30">
        <v>0</v>
      </c>
      <c r="E181" s="49">
        <f>F180</f>
        <v>46394</v>
      </c>
      <c r="F181" s="49">
        <f>E181</f>
        <v>46394</v>
      </c>
      <c r="G181" s="29"/>
      <c r="H181" s="29">
        <f t="shared" si="75"/>
        <v>1</v>
      </c>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c r="DR181" s="4"/>
      <c r="DS181" s="4"/>
      <c r="DT181" s="4"/>
      <c r="DU181" s="4"/>
      <c r="DV181" s="4"/>
      <c r="DW181" s="4"/>
      <c r="DX181" s="4"/>
      <c r="DY181" s="4"/>
      <c r="DZ181" s="4"/>
      <c r="EA181" s="4"/>
      <c r="EB181" s="4"/>
      <c r="EC181" s="4"/>
      <c r="ED181" s="4"/>
    </row>
    <row r="182" spans="2:134" ht="30" customHeight="1" thickBot="1" x14ac:dyDescent="0.35">
      <c r="B182" s="62" t="s">
        <v>199</v>
      </c>
      <c r="C182" s="13" t="s">
        <v>38</v>
      </c>
      <c r="D182" s="30">
        <v>0</v>
      </c>
      <c r="E182" s="49">
        <f>F180</f>
        <v>46394</v>
      </c>
      <c r="F182" s="49">
        <f>E182</f>
        <v>46394</v>
      </c>
      <c r="G182" s="29"/>
      <c r="H182" s="29">
        <f t="shared" si="75"/>
        <v>1</v>
      </c>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c r="DM182" s="4"/>
      <c r="DN182" s="4"/>
      <c r="DO182" s="4"/>
      <c r="DP182" s="4"/>
      <c r="DQ182" s="4"/>
      <c r="DR182" s="4"/>
      <c r="DS182" s="4"/>
      <c r="DT182" s="4"/>
      <c r="DU182" s="4"/>
      <c r="DV182" s="4"/>
      <c r="DW182" s="4"/>
      <c r="DX182" s="4"/>
      <c r="DY182" s="4"/>
      <c r="DZ182" s="4"/>
      <c r="EA182" s="4"/>
      <c r="EB182" s="4"/>
      <c r="EC182" s="4"/>
      <c r="ED182" s="4"/>
    </row>
    <row r="183" spans="2:134" ht="30" customHeight="1" thickBot="1" x14ac:dyDescent="0.35">
      <c r="B183" s="27" t="s">
        <v>200</v>
      </c>
      <c r="C183" s="12" t="s">
        <v>38</v>
      </c>
      <c r="D183" s="28"/>
      <c r="E183" s="47"/>
      <c r="F183" s="48"/>
      <c r="G183" s="29"/>
      <c r="H183" s="29" t="str">
        <f t="shared" si="75"/>
        <v/>
      </c>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c r="DM183" s="4"/>
      <c r="DN183" s="4"/>
      <c r="DO183" s="4"/>
      <c r="DP183" s="4"/>
      <c r="DQ183" s="4"/>
      <c r="DR183" s="4"/>
      <c r="DS183" s="4"/>
      <c r="DT183" s="4"/>
      <c r="DU183" s="4"/>
      <c r="DV183" s="4"/>
      <c r="DW183" s="4"/>
      <c r="DX183" s="4"/>
      <c r="DY183" s="4"/>
      <c r="DZ183" s="4"/>
      <c r="EA183" s="4"/>
      <c r="EB183" s="4"/>
      <c r="EC183" s="4"/>
      <c r="ED183" s="4"/>
    </row>
    <row r="184" spans="2:134" ht="30" customHeight="1" thickBot="1" x14ac:dyDescent="0.35">
      <c r="B184" s="62" t="s">
        <v>201</v>
      </c>
      <c r="C184" s="13" t="s">
        <v>38</v>
      </c>
      <c r="D184" s="30">
        <v>0</v>
      </c>
      <c r="E184" s="49">
        <f>F182+1</f>
        <v>46395</v>
      </c>
      <c r="F184" s="49">
        <f>E184</f>
        <v>46395</v>
      </c>
      <c r="G184" s="29"/>
      <c r="H184" s="29">
        <f t="shared" si="75"/>
        <v>1</v>
      </c>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row>
    <row r="185" spans="2:134" ht="30" customHeight="1" thickBot="1" x14ac:dyDescent="0.35">
      <c r="B185" s="62" t="s">
        <v>202</v>
      </c>
      <c r="C185" s="13" t="s">
        <v>38</v>
      </c>
      <c r="D185" s="30">
        <v>0</v>
      </c>
      <c r="E185" s="49">
        <f>F184</f>
        <v>46395</v>
      </c>
      <c r="F185" s="49">
        <f>E185</f>
        <v>46395</v>
      </c>
      <c r="G185" s="29"/>
      <c r="H185" s="29">
        <f t="shared" si="75"/>
        <v>1</v>
      </c>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row>
    <row r="186" spans="2:134" ht="30" customHeight="1" thickBot="1" x14ac:dyDescent="0.35">
      <c r="B186" s="57" t="s">
        <v>117</v>
      </c>
      <c r="C186" s="54" t="s">
        <v>38</v>
      </c>
      <c r="D186" s="55"/>
      <c r="E186" s="56"/>
      <c r="F186" s="56"/>
      <c r="G186" s="29"/>
      <c r="H186" s="29" t="str">
        <f t="shared" si="75"/>
        <v/>
      </c>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4"/>
    </row>
    <row r="187" spans="2:134" ht="30" customHeight="1" thickBot="1" x14ac:dyDescent="0.35">
      <c r="B187" s="27" t="s">
        <v>118</v>
      </c>
      <c r="C187" s="12" t="s">
        <v>38</v>
      </c>
      <c r="D187" s="28"/>
      <c r="E187" s="47"/>
      <c r="F187" s="48"/>
      <c r="G187" s="29"/>
      <c r="H187" s="29" t="str">
        <f t="shared" si="75"/>
        <v/>
      </c>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4"/>
    </row>
    <row r="188" spans="2:134" ht="30" customHeight="1" thickBot="1" x14ac:dyDescent="0.35">
      <c r="B188" s="62" t="s">
        <v>119</v>
      </c>
      <c r="C188" s="13" t="s">
        <v>38</v>
      </c>
      <c r="D188" s="30">
        <v>0</v>
      </c>
      <c r="E188" s="49">
        <f>F185+3</f>
        <v>46398</v>
      </c>
      <c r="F188" s="49">
        <f>E188+1</f>
        <v>46399</v>
      </c>
      <c r="G188" s="29"/>
      <c r="H188" s="29">
        <f t="shared" si="75"/>
        <v>2</v>
      </c>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4"/>
      <c r="EA188" s="4"/>
      <c r="EB188" s="4"/>
      <c r="EC188" s="4"/>
      <c r="ED188" s="4"/>
    </row>
    <row r="189" spans="2:134" ht="30" customHeight="1" thickBot="1" x14ac:dyDescent="0.35">
      <c r="B189" s="62" t="s">
        <v>120</v>
      </c>
      <c r="C189" s="13" t="s">
        <v>38</v>
      </c>
      <c r="D189" s="30">
        <v>0</v>
      </c>
      <c r="E189" s="49">
        <f>F188</f>
        <v>46399</v>
      </c>
      <c r="F189" s="49">
        <f>E189</f>
        <v>46399</v>
      </c>
      <c r="G189" s="29"/>
      <c r="H189" s="29">
        <f t="shared" si="75"/>
        <v>1</v>
      </c>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4"/>
    </row>
    <row r="190" spans="2:134" ht="30" customHeight="1" thickBot="1" x14ac:dyDescent="0.35">
      <c r="B190" s="62" t="s">
        <v>124</v>
      </c>
      <c r="C190" s="13" t="s">
        <v>38</v>
      </c>
      <c r="D190" s="30">
        <v>0</v>
      </c>
      <c r="E190" s="49">
        <f>F188</f>
        <v>46399</v>
      </c>
      <c r="F190" s="49">
        <f>E190</f>
        <v>46399</v>
      </c>
      <c r="G190" s="29"/>
      <c r="H190" s="29">
        <f t="shared" si="75"/>
        <v>1</v>
      </c>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4"/>
    </row>
    <row r="191" spans="2:134" ht="30" customHeight="1" thickBot="1" x14ac:dyDescent="0.35">
      <c r="B191" s="62" t="s">
        <v>125</v>
      </c>
      <c r="C191" s="13" t="s">
        <v>38</v>
      </c>
      <c r="D191" s="30">
        <v>0</v>
      </c>
      <c r="E191" s="49">
        <f>F189</f>
        <v>46399</v>
      </c>
      <c r="F191" s="49">
        <f>E191</f>
        <v>46399</v>
      </c>
      <c r="G191" s="29"/>
      <c r="H191" s="29">
        <f t="shared" si="75"/>
        <v>1</v>
      </c>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4"/>
    </row>
    <row r="192" spans="2:134" ht="30" customHeight="1" thickBot="1" x14ac:dyDescent="0.35">
      <c r="B192" s="27" t="s">
        <v>121</v>
      </c>
      <c r="C192" s="12" t="s">
        <v>38</v>
      </c>
      <c r="D192" s="28"/>
      <c r="E192" s="47"/>
      <c r="F192" s="48"/>
      <c r="G192" s="29"/>
      <c r="H192" s="29" t="str">
        <f t="shared" si="75"/>
        <v/>
      </c>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c r="DM192" s="4"/>
      <c r="DN192" s="4"/>
      <c r="DO192" s="4"/>
      <c r="DP192" s="4"/>
      <c r="DQ192" s="4"/>
      <c r="DR192" s="4"/>
      <c r="DS192" s="4"/>
      <c r="DT192" s="4"/>
      <c r="DU192" s="4"/>
      <c r="DV192" s="4"/>
      <c r="DW192" s="4"/>
      <c r="DX192" s="4"/>
      <c r="DY192" s="4"/>
      <c r="DZ192" s="4"/>
      <c r="EA192" s="4"/>
      <c r="EB192" s="4"/>
      <c r="EC192" s="4"/>
      <c r="ED192" s="4"/>
    </row>
    <row r="193" spans="2:134" ht="30" customHeight="1" thickBot="1" x14ac:dyDescent="0.35">
      <c r="B193" s="62" t="s">
        <v>122</v>
      </c>
      <c r="C193" s="13" t="s">
        <v>38</v>
      </c>
      <c r="D193" s="30">
        <v>0</v>
      </c>
      <c r="E193" s="49">
        <f>F189+1</f>
        <v>46400</v>
      </c>
      <c r="F193" s="49">
        <f>E193+1</f>
        <v>46401</v>
      </c>
      <c r="G193" s="29"/>
      <c r="H193" s="29">
        <f t="shared" si="75"/>
        <v>2</v>
      </c>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c r="DM193" s="4"/>
      <c r="DN193" s="4"/>
      <c r="DO193" s="4"/>
      <c r="DP193" s="4"/>
      <c r="DQ193" s="4"/>
      <c r="DR193" s="4"/>
      <c r="DS193" s="4"/>
      <c r="DT193" s="4"/>
      <c r="DU193" s="4"/>
      <c r="DV193" s="4"/>
      <c r="DW193" s="4"/>
      <c r="DX193" s="4"/>
      <c r="DY193" s="4"/>
      <c r="DZ193" s="4"/>
      <c r="EA193" s="4"/>
      <c r="EB193" s="4"/>
      <c r="EC193" s="4"/>
      <c r="ED193" s="4"/>
    </row>
    <row r="194" spans="2:134" ht="30" customHeight="1" thickBot="1" x14ac:dyDescent="0.35">
      <c r="B194" s="62" t="s">
        <v>123</v>
      </c>
      <c r="C194" s="13" t="s">
        <v>38</v>
      </c>
      <c r="D194" s="30">
        <v>0</v>
      </c>
      <c r="E194" s="49">
        <f>F193</f>
        <v>46401</v>
      </c>
      <c r="F194" s="49">
        <f>E194</f>
        <v>46401</v>
      </c>
      <c r="G194" s="29"/>
      <c r="H194" s="29">
        <f t="shared" si="75"/>
        <v>1</v>
      </c>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c r="DM194" s="4"/>
      <c r="DN194" s="4"/>
      <c r="DO194" s="4"/>
      <c r="DP194" s="4"/>
      <c r="DQ194" s="4"/>
      <c r="DR194" s="4"/>
      <c r="DS194" s="4"/>
      <c r="DT194" s="4"/>
      <c r="DU194" s="4"/>
      <c r="DV194" s="4"/>
      <c r="DW194" s="4"/>
      <c r="DX194" s="4"/>
      <c r="DY194" s="4"/>
      <c r="DZ194" s="4"/>
      <c r="EA194" s="4"/>
      <c r="EB194" s="4"/>
      <c r="EC194" s="4"/>
      <c r="ED194" s="4"/>
    </row>
    <row r="195" spans="2:134" ht="30" customHeight="1" thickBot="1" x14ac:dyDescent="0.35">
      <c r="B195" s="57" t="s">
        <v>126</v>
      </c>
      <c r="C195" s="54" t="s">
        <v>38</v>
      </c>
      <c r="D195" s="55"/>
      <c r="E195" s="56"/>
      <c r="F195" s="56"/>
      <c r="G195" s="29"/>
      <c r="H195" s="29" t="str">
        <f t="shared" si="75"/>
        <v/>
      </c>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c r="DR195" s="4"/>
      <c r="DS195" s="4"/>
      <c r="DT195" s="4"/>
      <c r="DU195" s="4"/>
      <c r="DV195" s="4"/>
      <c r="DW195" s="4"/>
      <c r="DX195" s="4"/>
      <c r="DY195" s="4"/>
      <c r="DZ195" s="4"/>
      <c r="EA195" s="4"/>
      <c r="EB195" s="4"/>
      <c r="EC195" s="4"/>
      <c r="ED195" s="4"/>
    </row>
    <row r="196" spans="2:134" ht="30" customHeight="1" thickBot="1" x14ac:dyDescent="0.35">
      <c r="B196" s="27" t="s">
        <v>127</v>
      </c>
      <c r="C196" s="12" t="s">
        <v>38</v>
      </c>
      <c r="D196" s="28"/>
      <c r="E196" s="47"/>
      <c r="F196" s="48"/>
      <c r="G196" s="29"/>
      <c r="H196" s="29" t="str">
        <f t="shared" si="75"/>
        <v/>
      </c>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c r="DM196" s="4"/>
      <c r="DN196" s="4"/>
      <c r="DO196" s="4"/>
      <c r="DP196" s="4"/>
      <c r="DQ196" s="4"/>
      <c r="DR196" s="4"/>
      <c r="DS196" s="4"/>
      <c r="DT196" s="4"/>
      <c r="DU196" s="4"/>
      <c r="DV196" s="4"/>
      <c r="DW196" s="4"/>
      <c r="DX196" s="4"/>
      <c r="DY196" s="4"/>
      <c r="DZ196" s="4"/>
      <c r="EA196" s="4"/>
      <c r="EB196" s="4"/>
      <c r="EC196" s="4"/>
      <c r="ED196" s="4"/>
    </row>
    <row r="197" spans="2:134" ht="30" customHeight="1" thickBot="1" x14ac:dyDescent="0.35">
      <c r="B197" s="62" t="s">
        <v>128</v>
      </c>
      <c r="C197" s="13" t="s">
        <v>38</v>
      </c>
      <c r="D197" s="30">
        <v>0</v>
      </c>
      <c r="E197" s="49">
        <f>F194</f>
        <v>46401</v>
      </c>
      <c r="F197" s="49">
        <f>E197+1</f>
        <v>46402</v>
      </c>
      <c r="G197" s="29"/>
      <c r="H197" s="29">
        <f t="shared" si="75"/>
        <v>2</v>
      </c>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c r="DR197" s="4"/>
      <c r="DS197" s="4"/>
      <c r="DT197" s="4"/>
      <c r="DU197" s="4"/>
      <c r="DV197" s="4"/>
      <c r="DW197" s="4"/>
      <c r="DX197" s="4"/>
      <c r="DY197" s="4"/>
      <c r="DZ197" s="4"/>
      <c r="EA197" s="4"/>
      <c r="EB197" s="4"/>
      <c r="EC197" s="4"/>
      <c r="ED197" s="4"/>
    </row>
    <row r="198" spans="2:134" ht="30" customHeight="1" thickBot="1" x14ac:dyDescent="0.35">
      <c r="B198" s="62" t="s">
        <v>129</v>
      </c>
      <c r="C198" s="13" t="s">
        <v>38</v>
      </c>
      <c r="D198" s="30">
        <v>0</v>
      </c>
      <c r="E198" s="49">
        <f>F197</f>
        <v>46402</v>
      </c>
      <c r="F198" s="49">
        <f>E198</f>
        <v>46402</v>
      </c>
      <c r="G198" s="29"/>
      <c r="H198" s="29">
        <f t="shared" si="75"/>
        <v>1</v>
      </c>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c r="DN198" s="4"/>
      <c r="DO198" s="4"/>
      <c r="DP198" s="4"/>
      <c r="DQ198" s="4"/>
      <c r="DR198" s="4"/>
      <c r="DS198" s="4"/>
      <c r="DT198" s="4"/>
      <c r="DU198" s="4"/>
      <c r="DV198" s="4"/>
      <c r="DW198" s="4"/>
      <c r="DX198" s="4"/>
      <c r="DY198" s="4"/>
      <c r="DZ198" s="4"/>
      <c r="EA198" s="4"/>
      <c r="EB198" s="4"/>
      <c r="EC198" s="4"/>
      <c r="ED198" s="4"/>
    </row>
    <row r="199" spans="2:134" ht="30" customHeight="1" thickBot="1" x14ac:dyDescent="0.35">
      <c r="B199" s="62" t="s">
        <v>130</v>
      </c>
      <c r="C199" s="13" t="s">
        <v>38</v>
      </c>
      <c r="D199" s="30">
        <v>0</v>
      </c>
      <c r="E199" s="49">
        <f>F197</f>
        <v>46402</v>
      </c>
      <c r="F199" s="49">
        <f>E199</f>
        <v>46402</v>
      </c>
      <c r="G199" s="29"/>
      <c r="H199" s="29">
        <f t="shared" si="75"/>
        <v>1</v>
      </c>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c r="DM199" s="4"/>
      <c r="DN199" s="4"/>
      <c r="DO199" s="4"/>
      <c r="DP199" s="4"/>
      <c r="DQ199" s="4"/>
      <c r="DR199" s="4"/>
      <c r="DS199" s="4"/>
      <c r="DT199" s="4"/>
      <c r="DU199" s="4"/>
      <c r="DV199" s="4"/>
      <c r="DW199" s="4"/>
      <c r="DX199" s="4"/>
      <c r="DY199" s="4"/>
      <c r="DZ199" s="4"/>
      <c r="EA199" s="4"/>
      <c r="EB199" s="4"/>
      <c r="EC199" s="4"/>
      <c r="ED199" s="4"/>
    </row>
    <row r="200" spans="2:134" ht="30" customHeight="1" thickBot="1" x14ac:dyDescent="0.35">
      <c r="B200" s="27" t="s">
        <v>131</v>
      </c>
      <c r="C200" s="12" t="s">
        <v>38</v>
      </c>
      <c r="D200" s="28"/>
      <c r="E200" s="47"/>
      <c r="F200" s="48"/>
      <c r="G200" s="29"/>
      <c r="H200" s="29" t="str">
        <f t="shared" si="75"/>
        <v/>
      </c>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c r="DR200" s="4"/>
      <c r="DS200" s="4"/>
      <c r="DT200" s="4"/>
      <c r="DU200" s="4"/>
      <c r="DV200" s="4"/>
      <c r="DW200" s="4"/>
      <c r="DX200" s="4"/>
      <c r="DY200" s="4"/>
      <c r="DZ200" s="4"/>
      <c r="EA200" s="4"/>
      <c r="EB200" s="4"/>
      <c r="EC200" s="4"/>
      <c r="ED200" s="4"/>
    </row>
    <row r="201" spans="2:134" ht="30" customHeight="1" thickBot="1" x14ac:dyDescent="0.35">
      <c r="B201" s="62" t="s">
        <v>132</v>
      </c>
      <c r="C201" s="13" t="s">
        <v>38</v>
      </c>
      <c r="D201" s="30">
        <v>0</v>
      </c>
      <c r="E201" s="49">
        <f>F199+3</f>
        <v>46405</v>
      </c>
      <c r="F201" s="49">
        <f>E201</f>
        <v>46405</v>
      </c>
      <c r="G201" s="29"/>
      <c r="H201" s="29">
        <f t="shared" si="75"/>
        <v>1</v>
      </c>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c r="DM201" s="4"/>
      <c r="DN201" s="4"/>
      <c r="DO201" s="4"/>
      <c r="DP201" s="4"/>
      <c r="DQ201" s="4"/>
      <c r="DR201" s="4"/>
      <c r="DS201" s="4"/>
      <c r="DT201" s="4"/>
      <c r="DU201" s="4"/>
      <c r="DV201" s="4"/>
      <c r="DW201" s="4"/>
      <c r="DX201" s="4"/>
      <c r="DY201" s="4"/>
      <c r="DZ201" s="4"/>
      <c r="EA201" s="4"/>
      <c r="EB201" s="4"/>
      <c r="EC201" s="4"/>
      <c r="ED201" s="4"/>
    </row>
    <row r="202" spans="2:134" ht="30" customHeight="1" thickBot="1" x14ac:dyDescent="0.35">
      <c r="B202" s="62" t="s">
        <v>133</v>
      </c>
      <c r="C202" s="13" t="s">
        <v>38</v>
      </c>
      <c r="D202" s="30">
        <v>0</v>
      </c>
      <c r="E202" s="49">
        <f>F201</f>
        <v>46405</v>
      </c>
      <c r="F202" s="49">
        <f>E202</f>
        <v>46405</v>
      </c>
      <c r="G202" s="29"/>
      <c r="H202" s="29">
        <f t="shared" si="75"/>
        <v>1</v>
      </c>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4"/>
      <c r="DU202" s="4"/>
      <c r="DV202" s="4"/>
      <c r="DW202" s="4"/>
      <c r="DX202" s="4"/>
      <c r="DY202" s="4"/>
      <c r="DZ202" s="4"/>
      <c r="EA202" s="4"/>
      <c r="EB202" s="4"/>
      <c r="EC202" s="4"/>
      <c r="ED202" s="4"/>
    </row>
    <row r="203" spans="2:134" ht="30" customHeight="1" thickBot="1" x14ac:dyDescent="0.35">
      <c r="B203" s="57" t="s">
        <v>134</v>
      </c>
      <c r="C203" s="54" t="s">
        <v>38</v>
      </c>
      <c r="D203" s="55"/>
      <c r="E203" s="56"/>
      <c r="F203" s="56"/>
      <c r="G203" s="29"/>
      <c r="H203" s="29" t="str">
        <f t="shared" si="75"/>
        <v/>
      </c>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c r="DM203" s="4"/>
      <c r="DN203" s="4"/>
      <c r="DO203" s="4"/>
      <c r="DP203" s="4"/>
      <c r="DQ203" s="4"/>
      <c r="DR203" s="4"/>
      <c r="DS203" s="4"/>
      <c r="DT203" s="4"/>
      <c r="DU203" s="4"/>
      <c r="DV203" s="4"/>
      <c r="DW203" s="4"/>
      <c r="DX203" s="4"/>
      <c r="DY203" s="4"/>
      <c r="DZ203" s="4"/>
      <c r="EA203" s="4"/>
      <c r="EB203" s="4"/>
      <c r="EC203" s="4"/>
      <c r="ED203" s="4"/>
    </row>
    <row r="204" spans="2:134" ht="30" customHeight="1" thickBot="1" x14ac:dyDescent="0.35">
      <c r="B204" s="27" t="s">
        <v>135</v>
      </c>
      <c r="C204" s="12" t="s">
        <v>38</v>
      </c>
      <c r="D204" s="28"/>
      <c r="E204" s="47"/>
      <c r="F204" s="48"/>
      <c r="G204" s="29"/>
      <c r="H204" s="29" t="str">
        <f t="shared" si="75"/>
        <v/>
      </c>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c r="DM204" s="4"/>
      <c r="DN204" s="4"/>
      <c r="DO204" s="4"/>
      <c r="DP204" s="4"/>
      <c r="DQ204" s="4"/>
      <c r="DR204" s="4"/>
      <c r="DS204" s="4"/>
      <c r="DT204" s="4"/>
      <c r="DU204" s="4"/>
      <c r="DV204" s="4"/>
      <c r="DW204" s="4"/>
      <c r="DX204" s="4"/>
      <c r="DY204" s="4"/>
      <c r="DZ204" s="4"/>
      <c r="EA204" s="4"/>
      <c r="EB204" s="4"/>
      <c r="EC204" s="4"/>
      <c r="ED204" s="4"/>
    </row>
    <row r="205" spans="2:134" ht="30" customHeight="1" thickBot="1" x14ac:dyDescent="0.35">
      <c r="B205" s="62" t="s">
        <v>136</v>
      </c>
      <c r="C205" s="13" t="s">
        <v>38</v>
      </c>
      <c r="D205" s="30">
        <v>0</v>
      </c>
      <c r="E205" s="49">
        <f>F202</f>
        <v>46405</v>
      </c>
      <c r="F205" s="49">
        <f>E205</f>
        <v>46405</v>
      </c>
      <c r="G205" s="29"/>
      <c r="H205" s="29">
        <f t="shared" si="75"/>
        <v>1</v>
      </c>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c r="DM205" s="4"/>
      <c r="DN205" s="4"/>
      <c r="DO205" s="4"/>
      <c r="DP205" s="4"/>
      <c r="DQ205" s="4"/>
      <c r="DR205" s="4"/>
      <c r="DS205" s="4"/>
      <c r="DT205" s="4"/>
      <c r="DU205" s="4"/>
      <c r="DV205" s="4"/>
      <c r="DW205" s="4"/>
      <c r="DX205" s="4"/>
      <c r="DY205" s="4"/>
      <c r="DZ205" s="4"/>
      <c r="EA205" s="4"/>
      <c r="EB205" s="4"/>
      <c r="EC205" s="4"/>
      <c r="ED205" s="4"/>
    </row>
    <row r="206" spans="2:134" ht="30" customHeight="1" thickBot="1" x14ac:dyDescent="0.35">
      <c r="B206" s="62" t="s">
        <v>129</v>
      </c>
      <c r="C206" s="13" t="s">
        <v>38</v>
      </c>
      <c r="D206" s="30">
        <v>0</v>
      </c>
      <c r="E206" s="49">
        <f>F205</f>
        <v>46405</v>
      </c>
      <c r="F206" s="49">
        <f>E206</f>
        <v>46405</v>
      </c>
      <c r="G206" s="29"/>
      <c r="H206" s="29">
        <f t="shared" si="75"/>
        <v>1</v>
      </c>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c r="DN206" s="4"/>
      <c r="DO206" s="4"/>
      <c r="DP206" s="4"/>
      <c r="DQ206" s="4"/>
      <c r="DR206" s="4"/>
      <c r="DS206" s="4"/>
      <c r="DT206" s="4"/>
      <c r="DU206" s="4"/>
      <c r="DV206" s="4"/>
      <c r="DW206" s="4"/>
      <c r="DX206" s="4"/>
      <c r="DY206" s="4"/>
      <c r="DZ206" s="4"/>
      <c r="EA206" s="4"/>
      <c r="EB206" s="4"/>
      <c r="EC206" s="4"/>
      <c r="ED206" s="4"/>
    </row>
    <row r="207" spans="2:134" ht="30" customHeight="1" thickBot="1" x14ac:dyDescent="0.35">
      <c r="B207" s="62" t="s">
        <v>130</v>
      </c>
      <c r="C207" s="13" t="s">
        <v>38</v>
      </c>
      <c r="D207" s="30">
        <v>0</v>
      </c>
      <c r="E207" s="49">
        <f>F205</f>
        <v>46405</v>
      </c>
      <c r="F207" s="49">
        <f>E207</f>
        <v>46405</v>
      </c>
      <c r="G207" s="29"/>
      <c r="H207" s="29">
        <f t="shared" si="75"/>
        <v>1</v>
      </c>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c r="DM207" s="4"/>
      <c r="DN207" s="4"/>
      <c r="DO207" s="4"/>
      <c r="DP207" s="4"/>
      <c r="DQ207" s="4"/>
      <c r="DR207" s="4"/>
      <c r="DS207" s="4"/>
      <c r="DT207" s="4"/>
      <c r="DU207" s="4"/>
      <c r="DV207" s="4"/>
      <c r="DW207" s="4"/>
      <c r="DX207" s="4"/>
      <c r="DY207" s="4"/>
      <c r="DZ207" s="4"/>
      <c r="EA207" s="4"/>
      <c r="EB207" s="4"/>
      <c r="EC207" s="4"/>
      <c r="ED207" s="4"/>
    </row>
    <row r="208" spans="2:134" ht="30" customHeight="1" thickBot="1" x14ac:dyDescent="0.35">
      <c r="B208" s="27" t="s">
        <v>137</v>
      </c>
      <c r="C208" s="12" t="s">
        <v>38</v>
      </c>
      <c r="D208" s="28"/>
      <c r="E208" s="47"/>
      <c r="F208" s="48"/>
      <c r="G208" s="29"/>
      <c r="H208" s="29" t="str">
        <f t="shared" si="75"/>
        <v/>
      </c>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c r="DN208" s="4"/>
      <c r="DO208" s="4"/>
      <c r="DP208" s="4"/>
      <c r="DQ208" s="4"/>
      <c r="DR208" s="4"/>
      <c r="DS208" s="4"/>
      <c r="DT208" s="4"/>
      <c r="DU208" s="4"/>
      <c r="DV208" s="4"/>
      <c r="DW208" s="4"/>
      <c r="DX208" s="4"/>
      <c r="DY208" s="4"/>
      <c r="DZ208" s="4"/>
      <c r="EA208" s="4"/>
      <c r="EB208" s="4"/>
      <c r="EC208" s="4"/>
      <c r="ED208" s="4"/>
    </row>
    <row r="209" spans="2:134" ht="30" customHeight="1" thickBot="1" x14ac:dyDescent="0.35">
      <c r="B209" s="62" t="s">
        <v>138</v>
      </c>
      <c r="C209" s="13" t="s">
        <v>38</v>
      </c>
      <c r="D209" s="30">
        <v>0</v>
      </c>
      <c r="E209" s="49">
        <f>F207+1</f>
        <v>46406</v>
      </c>
      <c r="F209" s="49">
        <f>E209</f>
        <v>46406</v>
      </c>
      <c r="G209" s="29"/>
      <c r="H209" s="29">
        <f t="shared" si="75"/>
        <v>1</v>
      </c>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c r="DM209" s="4"/>
      <c r="DN209" s="4"/>
      <c r="DO209" s="4"/>
      <c r="DP209" s="4"/>
      <c r="DQ209" s="4"/>
      <c r="DR209" s="4"/>
      <c r="DS209" s="4"/>
      <c r="DT209" s="4"/>
      <c r="DU209" s="4"/>
      <c r="DV209" s="4"/>
      <c r="DW209" s="4"/>
      <c r="DX209" s="4"/>
      <c r="DY209" s="4"/>
      <c r="DZ209" s="4"/>
      <c r="EA209" s="4"/>
      <c r="EB209" s="4"/>
      <c r="EC209" s="4"/>
      <c r="ED209" s="4"/>
    </row>
    <row r="210" spans="2:134" ht="30" customHeight="1" thickBot="1" x14ac:dyDescent="0.35">
      <c r="B210" s="62" t="s">
        <v>139</v>
      </c>
      <c r="C210" s="13" t="s">
        <v>38</v>
      </c>
      <c r="D210" s="30">
        <v>0</v>
      </c>
      <c r="E210" s="49">
        <f>F209</f>
        <v>46406</v>
      </c>
      <c r="F210" s="49">
        <f>E210</f>
        <v>46406</v>
      </c>
      <c r="G210" s="29"/>
      <c r="H210" s="29">
        <f t="shared" si="75"/>
        <v>1</v>
      </c>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c r="DM210" s="4"/>
      <c r="DN210" s="4"/>
      <c r="DO210" s="4"/>
      <c r="DP210" s="4"/>
      <c r="DQ210" s="4"/>
      <c r="DR210" s="4"/>
      <c r="DS210" s="4"/>
      <c r="DT210" s="4"/>
      <c r="DU210" s="4"/>
      <c r="DV210" s="4"/>
      <c r="DW210" s="4"/>
      <c r="DX210" s="4"/>
      <c r="DY210" s="4"/>
      <c r="DZ210" s="4"/>
      <c r="EA210" s="4"/>
      <c r="EB210" s="4"/>
      <c r="EC210" s="4"/>
      <c r="ED210" s="4"/>
    </row>
    <row r="211" spans="2:134" ht="30" customHeight="1" thickBot="1" x14ac:dyDescent="0.35">
      <c r="B211" s="57" t="s">
        <v>140</v>
      </c>
      <c r="C211" s="54" t="s">
        <v>38</v>
      </c>
      <c r="D211" s="55"/>
      <c r="E211" s="56"/>
      <c r="F211" s="56"/>
      <c r="G211" s="29"/>
      <c r="H211" s="29" t="str">
        <f t="shared" si="75"/>
        <v/>
      </c>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c r="DM211" s="4"/>
      <c r="DN211" s="4"/>
      <c r="DO211" s="4"/>
      <c r="DP211" s="4"/>
      <c r="DQ211" s="4"/>
      <c r="DR211" s="4"/>
      <c r="DS211" s="4"/>
      <c r="DT211" s="4"/>
      <c r="DU211" s="4"/>
      <c r="DV211" s="4"/>
      <c r="DW211" s="4"/>
      <c r="DX211" s="4"/>
      <c r="DY211" s="4"/>
      <c r="DZ211" s="4"/>
      <c r="EA211" s="4"/>
      <c r="EB211" s="4"/>
      <c r="EC211" s="4"/>
      <c r="ED211" s="4"/>
    </row>
    <row r="212" spans="2:134" ht="30" customHeight="1" thickBot="1" x14ac:dyDescent="0.35">
      <c r="B212" s="27" t="s">
        <v>141</v>
      </c>
      <c r="C212" s="12" t="s">
        <v>38</v>
      </c>
      <c r="D212" s="28"/>
      <c r="E212" s="47"/>
      <c r="F212" s="48"/>
      <c r="G212" s="29"/>
      <c r="H212" s="29" t="str">
        <f t="shared" si="75"/>
        <v/>
      </c>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c r="DM212" s="4"/>
      <c r="DN212" s="4"/>
      <c r="DO212" s="4"/>
      <c r="DP212" s="4"/>
      <c r="DQ212" s="4"/>
      <c r="DR212" s="4"/>
      <c r="DS212" s="4"/>
      <c r="DT212" s="4"/>
      <c r="DU212" s="4"/>
      <c r="DV212" s="4"/>
      <c r="DW212" s="4"/>
      <c r="DX212" s="4"/>
      <c r="DY212" s="4"/>
      <c r="DZ212" s="4"/>
      <c r="EA212" s="4"/>
      <c r="EB212" s="4"/>
      <c r="EC212" s="4"/>
      <c r="ED212" s="4"/>
    </row>
    <row r="213" spans="2:134" ht="30" customHeight="1" thickBot="1" x14ac:dyDescent="0.35">
      <c r="B213" s="62" t="s">
        <v>142</v>
      </c>
      <c r="C213" s="13" t="s">
        <v>38</v>
      </c>
      <c r="D213" s="30">
        <v>0</v>
      </c>
      <c r="E213" s="49">
        <f>F210</f>
        <v>46406</v>
      </c>
      <c r="F213" s="49">
        <f>E213</f>
        <v>46406</v>
      </c>
      <c r="G213" s="29"/>
      <c r="H213" s="29">
        <f t="shared" si="75"/>
        <v>1</v>
      </c>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c r="DM213" s="4"/>
      <c r="DN213" s="4"/>
      <c r="DO213" s="4"/>
      <c r="DP213" s="4"/>
      <c r="DQ213" s="4"/>
      <c r="DR213" s="4"/>
      <c r="DS213" s="4"/>
      <c r="DT213" s="4"/>
      <c r="DU213" s="4"/>
      <c r="DV213" s="4"/>
      <c r="DW213" s="4"/>
      <c r="DX213" s="4"/>
      <c r="DY213" s="4"/>
      <c r="DZ213" s="4"/>
      <c r="EA213" s="4"/>
      <c r="EB213" s="4"/>
      <c r="EC213" s="4"/>
      <c r="ED213" s="4"/>
    </row>
    <row r="214" spans="2:134" ht="30" customHeight="1" thickBot="1" x14ac:dyDescent="0.35">
      <c r="B214" s="62" t="s">
        <v>143</v>
      </c>
      <c r="C214" s="13" t="s">
        <v>38</v>
      </c>
      <c r="D214" s="30">
        <v>0</v>
      </c>
      <c r="E214" s="49">
        <f>F213</f>
        <v>46406</v>
      </c>
      <c r="F214" s="49">
        <f>E214</f>
        <v>46406</v>
      </c>
      <c r="G214" s="29"/>
      <c r="H214" s="29">
        <f t="shared" si="75"/>
        <v>1</v>
      </c>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c r="DM214" s="4"/>
      <c r="DN214" s="4"/>
      <c r="DO214" s="4"/>
      <c r="DP214" s="4"/>
      <c r="DQ214" s="4"/>
      <c r="DR214" s="4"/>
      <c r="DS214" s="4"/>
      <c r="DT214" s="4"/>
      <c r="DU214" s="4"/>
      <c r="DV214" s="4"/>
      <c r="DW214" s="4"/>
      <c r="DX214" s="4"/>
      <c r="DY214" s="4"/>
      <c r="DZ214" s="4"/>
      <c r="EA214" s="4"/>
      <c r="EB214" s="4"/>
      <c r="EC214" s="4"/>
      <c r="ED214" s="4"/>
    </row>
    <row r="215" spans="2:134" ht="30" customHeight="1" thickBot="1" x14ac:dyDescent="0.35">
      <c r="B215" s="27" t="s">
        <v>144</v>
      </c>
      <c r="C215" s="12" t="s">
        <v>38</v>
      </c>
      <c r="D215" s="28"/>
      <c r="E215" s="47"/>
      <c r="F215" s="48"/>
      <c r="G215" s="29"/>
      <c r="H215" s="29" t="str">
        <f t="shared" ref="H215:H274" si="76">IF(OR(ISBLANK(タスク_開始),ISBLANK(タスク_終了)),"",タスク_終了-タスク_開始+1)</f>
        <v/>
      </c>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c r="DM215" s="4"/>
      <c r="DN215" s="4"/>
      <c r="DO215" s="4"/>
      <c r="DP215" s="4"/>
      <c r="DQ215" s="4"/>
      <c r="DR215" s="4"/>
      <c r="DS215" s="4"/>
      <c r="DT215" s="4"/>
      <c r="DU215" s="4"/>
      <c r="DV215" s="4"/>
      <c r="DW215" s="4"/>
      <c r="DX215" s="4"/>
      <c r="DY215" s="4"/>
      <c r="DZ215" s="4"/>
      <c r="EA215" s="4"/>
      <c r="EB215" s="4"/>
      <c r="EC215" s="4"/>
      <c r="ED215" s="4"/>
    </row>
    <row r="216" spans="2:134" ht="30" customHeight="1" thickBot="1" x14ac:dyDescent="0.35">
      <c r="B216" s="62" t="s">
        <v>145</v>
      </c>
      <c r="C216" s="13" t="s">
        <v>38</v>
      </c>
      <c r="D216" s="30">
        <v>0</v>
      </c>
      <c r="E216" s="49">
        <f>F214</f>
        <v>46406</v>
      </c>
      <c r="F216" s="49">
        <f>E216</f>
        <v>46406</v>
      </c>
      <c r="G216" s="29"/>
      <c r="H216" s="29">
        <f t="shared" si="76"/>
        <v>1</v>
      </c>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c r="DM216" s="4"/>
      <c r="DN216" s="4"/>
      <c r="DO216" s="4"/>
      <c r="DP216" s="4"/>
      <c r="DQ216" s="4"/>
      <c r="DR216" s="4"/>
      <c r="DS216" s="4"/>
      <c r="DT216" s="4"/>
      <c r="DU216" s="4"/>
      <c r="DV216" s="4"/>
      <c r="DW216" s="4"/>
      <c r="DX216" s="4"/>
      <c r="DY216" s="4"/>
      <c r="DZ216" s="4"/>
      <c r="EA216" s="4"/>
      <c r="EB216" s="4"/>
      <c r="EC216" s="4"/>
      <c r="ED216" s="4"/>
    </row>
    <row r="217" spans="2:134" ht="30" customHeight="1" thickBot="1" x14ac:dyDescent="0.35">
      <c r="B217" s="62" t="s">
        <v>146</v>
      </c>
      <c r="C217" s="13" t="s">
        <v>38</v>
      </c>
      <c r="D217" s="30">
        <v>0</v>
      </c>
      <c r="E217" s="49">
        <f>F216</f>
        <v>46406</v>
      </c>
      <c r="F217" s="49">
        <f>E217</f>
        <v>46406</v>
      </c>
      <c r="G217" s="29"/>
      <c r="H217" s="29">
        <f t="shared" si="76"/>
        <v>1</v>
      </c>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c r="DM217" s="4"/>
      <c r="DN217" s="4"/>
      <c r="DO217" s="4"/>
      <c r="DP217" s="4"/>
      <c r="DQ217" s="4"/>
      <c r="DR217" s="4"/>
      <c r="DS217" s="4"/>
      <c r="DT217" s="4"/>
      <c r="DU217" s="4"/>
      <c r="DV217" s="4"/>
      <c r="DW217" s="4"/>
      <c r="DX217" s="4"/>
      <c r="DY217" s="4"/>
      <c r="DZ217" s="4"/>
      <c r="EA217" s="4"/>
      <c r="EB217" s="4"/>
      <c r="EC217" s="4"/>
      <c r="ED217" s="4"/>
    </row>
    <row r="218" spans="2:134" ht="30" customHeight="1" thickBot="1" x14ac:dyDescent="0.35">
      <c r="B218" s="27" t="s">
        <v>147</v>
      </c>
      <c r="C218" s="12" t="s">
        <v>38</v>
      </c>
      <c r="D218" s="28"/>
      <c r="E218" s="47"/>
      <c r="F218" s="48"/>
      <c r="G218" s="29"/>
      <c r="H218" s="29" t="str">
        <f t="shared" si="76"/>
        <v/>
      </c>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4"/>
      <c r="DU218" s="4"/>
      <c r="DV218" s="4"/>
      <c r="DW218" s="4"/>
      <c r="DX218" s="4"/>
      <c r="DY218" s="4"/>
      <c r="DZ218" s="4"/>
      <c r="EA218" s="4"/>
      <c r="EB218" s="4"/>
      <c r="EC218" s="4"/>
      <c r="ED218" s="4"/>
    </row>
    <row r="219" spans="2:134" ht="30" customHeight="1" thickBot="1" x14ac:dyDescent="0.35">
      <c r="B219" s="62" t="s">
        <v>148</v>
      </c>
      <c r="C219" s="13" t="s">
        <v>38</v>
      </c>
      <c r="D219" s="30">
        <v>0</v>
      </c>
      <c r="E219" s="49">
        <f>F217</f>
        <v>46406</v>
      </c>
      <c r="F219" s="49">
        <f>E219</f>
        <v>46406</v>
      </c>
      <c r="G219" s="29"/>
      <c r="H219" s="29">
        <f t="shared" si="76"/>
        <v>1</v>
      </c>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c r="DO219" s="4"/>
      <c r="DP219" s="4"/>
      <c r="DQ219" s="4"/>
      <c r="DR219" s="4"/>
      <c r="DS219" s="4"/>
      <c r="DT219" s="4"/>
      <c r="DU219" s="4"/>
      <c r="DV219" s="4"/>
      <c r="DW219" s="4"/>
      <c r="DX219" s="4"/>
      <c r="DY219" s="4"/>
      <c r="DZ219" s="4"/>
      <c r="EA219" s="4"/>
      <c r="EB219" s="4"/>
      <c r="EC219" s="4"/>
      <c r="ED219" s="4"/>
    </row>
    <row r="220" spans="2:134" ht="30" customHeight="1" thickBot="1" x14ac:dyDescent="0.35">
      <c r="B220" s="62" t="s">
        <v>149</v>
      </c>
      <c r="C220" s="13" t="s">
        <v>38</v>
      </c>
      <c r="D220" s="30">
        <v>0</v>
      </c>
      <c r="E220" s="49">
        <f>F219</f>
        <v>46406</v>
      </c>
      <c r="F220" s="49">
        <f>E220</f>
        <v>46406</v>
      </c>
      <c r="G220" s="29"/>
      <c r="H220" s="29">
        <f t="shared" si="76"/>
        <v>1</v>
      </c>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c r="DM220" s="4"/>
      <c r="DN220" s="4"/>
      <c r="DO220" s="4"/>
      <c r="DP220" s="4"/>
      <c r="DQ220" s="4"/>
      <c r="DR220" s="4"/>
      <c r="DS220" s="4"/>
      <c r="DT220" s="4"/>
      <c r="DU220" s="4"/>
      <c r="DV220" s="4"/>
      <c r="DW220" s="4"/>
      <c r="DX220" s="4"/>
      <c r="DY220" s="4"/>
      <c r="DZ220" s="4"/>
      <c r="EA220" s="4"/>
      <c r="EB220" s="4"/>
      <c r="EC220" s="4"/>
      <c r="ED220" s="4"/>
    </row>
    <row r="221" spans="2:134" ht="30" customHeight="1" thickBot="1" x14ac:dyDescent="0.35">
      <c r="B221" s="27" t="s">
        <v>150</v>
      </c>
      <c r="C221" s="12" t="s">
        <v>38</v>
      </c>
      <c r="D221" s="28"/>
      <c r="E221" s="47"/>
      <c r="F221" s="48"/>
      <c r="G221" s="29"/>
      <c r="H221" s="29" t="str">
        <f t="shared" si="76"/>
        <v/>
      </c>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c r="DM221" s="4"/>
      <c r="DN221" s="4"/>
      <c r="DO221" s="4"/>
      <c r="DP221" s="4"/>
      <c r="DQ221" s="4"/>
      <c r="DR221" s="4"/>
      <c r="DS221" s="4"/>
      <c r="DT221" s="4"/>
      <c r="DU221" s="4"/>
      <c r="DV221" s="4"/>
      <c r="DW221" s="4"/>
      <c r="DX221" s="4"/>
      <c r="DY221" s="4"/>
      <c r="DZ221" s="4"/>
      <c r="EA221" s="4"/>
      <c r="EB221" s="4"/>
      <c r="EC221" s="4"/>
      <c r="ED221" s="4"/>
    </row>
    <row r="222" spans="2:134" ht="30" customHeight="1" thickBot="1" x14ac:dyDescent="0.35">
      <c r="B222" s="62" t="s">
        <v>151</v>
      </c>
      <c r="C222" s="13" t="s">
        <v>38</v>
      </c>
      <c r="D222" s="30">
        <v>0</v>
      </c>
      <c r="E222" s="49">
        <f>F220</f>
        <v>46406</v>
      </c>
      <c r="F222" s="49">
        <f>E222</f>
        <v>46406</v>
      </c>
      <c r="G222" s="29"/>
      <c r="H222" s="29">
        <f t="shared" si="76"/>
        <v>1</v>
      </c>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c r="DM222" s="4"/>
      <c r="DN222" s="4"/>
      <c r="DO222" s="4"/>
      <c r="DP222" s="4"/>
      <c r="DQ222" s="4"/>
      <c r="DR222" s="4"/>
      <c r="DS222" s="4"/>
      <c r="DT222" s="4"/>
      <c r="DU222" s="4"/>
      <c r="DV222" s="4"/>
      <c r="DW222" s="4"/>
      <c r="DX222" s="4"/>
      <c r="DY222" s="4"/>
      <c r="DZ222" s="4"/>
      <c r="EA222" s="4"/>
      <c r="EB222" s="4"/>
      <c r="EC222" s="4"/>
      <c r="ED222" s="4"/>
    </row>
    <row r="223" spans="2:134" ht="30" customHeight="1" thickBot="1" x14ac:dyDescent="0.35">
      <c r="B223" s="62" t="s">
        <v>152</v>
      </c>
      <c r="C223" s="13" t="s">
        <v>38</v>
      </c>
      <c r="D223" s="30">
        <v>0</v>
      </c>
      <c r="E223" s="49">
        <f>F222</f>
        <v>46406</v>
      </c>
      <c r="F223" s="78">
        <f>E223</f>
        <v>46406</v>
      </c>
      <c r="G223" s="29"/>
      <c r="H223" s="29">
        <f t="shared" si="76"/>
        <v>1</v>
      </c>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c r="DM223" s="4"/>
      <c r="DN223" s="4"/>
      <c r="DO223" s="4"/>
      <c r="DP223" s="4"/>
      <c r="DQ223" s="4"/>
      <c r="DR223" s="4"/>
      <c r="DS223" s="4"/>
      <c r="DT223" s="4"/>
      <c r="DU223" s="4"/>
      <c r="DV223" s="4"/>
      <c r="DW223" s="4"/>
      <c r="DX223" s="4"/>
      <c r="DY223" s="4"/>
      <c r="DZ223" s="4"/>
      <c r="EA223" s="4"/>
      <c r="EB223" s="4"/>
      <c r="EC223" s="4"/>
      <c r="ED223" s="4"/>
    </row>
    <row r="224" spans="2:134" ht="30" customHeight="1" thickBot="1" x14ac:dyDescent="0.35">
      <c r="B224" s="27" t="s">
        <v>153</v>
      </c>
      <c r="C224" s="12" t="s">
        <v>38</v>
      </c>
      <c r="D224" s="28"/>
      <c r="E224" s="47"/>
      <c r="F224" s="48"/>
      <c r="G224" s="29"/>
      <c r="H224" s="29" t="str">
        <f t="shared" si="76"/>
        <v/>
      </c>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c r="DM224" s="4"/>
      <c r="DN224" s="4"/>
      <c r="DO224" s="4"/>
      <c r="DP224" s="4"/>
      <c r="DQ224" s="4"/>
      <c r="DR224" s="4"/>
      <c r="DS224" s="4"/>
      <c r="DT224" s="4"/>
      <c r="DU224" s="4"/>
      <c r="DV224" s="4"/>
      <c r="DW224" s="4"/>
      <c r="DX224" s="4"/>
      <c r="DY224" s="4"/>
      <c r="DZ224" s="4"/>
      <c r="EA224" s="4"/>
      <c r="EB224" s="4"/>
      <c r="EC224" s="4"/>
      <c r="ED224" s="4"/>
    </row>
    <row r="225" spans="2:134" ht="30" customHeight="1" thickBot="1" x14ac:dyDescent="0.35">
      <c r="B225" s="62" t="s">
        <v>154</v>
      </c>
      <c r="C225" s="13" t="s">
        <v>38</v>
      </c>
      <c r="D225" s="30">
        <v>0</v>
      </c>
      <c r="E225" s="49">
        <f>F223+1</f>
        <v>46407</v>
      </c>
      <c r="F225" s="49">
        <f>E225</f>
        <v>46407</v>
      </c>
      <c r="G225" s="29"/>
      <c r="H225" s="29">
        <f t="shared" si="76"/>
        <v>1</v>
      </c>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c r="DM225" s="4"/>
      <c r="DN225" s="4"/>
      <c r="DO225" s="4"/>
      <c r="DP225" s="4"/>
      <c r="DQ225" s="4"/>
      <c r="DR225" s="4"/>
      <c r="DS225" s="4"/>
      <c r="DT225" s="4"/>
      <c r="DU225" s="4"/>
      <c r="DV225" s="4"/>
      <c r="DW225" s="4"/>
      <c r="DX225" s="4"/>
      <c r="DY225" s="4"/>
      <c r="DZ225" s="4"/>
      <c r="EA225" s="4"/>
      <c r="EB225" s="4"/>
      <c r="EC225" s="4"/>
      <c r="ED225" s="4"/>
    </row>
    <row r="226" spans="2:134" ht="30" customHeight="1" thickBot="1" x14ac:dyDescent="0.35">
      <c r="B226" s="62" t="s">
        <v>155</v>
      </c>
      <c r="C226" s="13" t="s">
        <v>38</v>
      </c>
      <c r="D226" s="30">
        <v>0</v>
      </c>
      <c r="E226" s="49">
        <f>F225</f>
        <v>46407</v>
      </c>
      <c r="F226" s="49">
        <f>E226</f>
        <v>46407</v>
      </c>
      <c r="G226" s="29"/>
      <c r="H226" s="29">
        <f t="shared" si="76"/>
        <v>1</v>
      </c>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c r="DN226" s="4"/>
      <c r="DO226" s="4"/>
      <c r="DP226" s="4"/>
      <c r="DQ226" s="4"/>
      <c r="DR226" s="4"/>
      <c r="DS226" s="4"/>
      <c r="DT226" s="4"/>
      <c r="DU226" s="4"/>
      <c r="DV226" s="4"/>
      <c r="DW226" s="4"/>
      <c r="DX226" s="4"/>
      <c r="DY226" s="4"/>
      <c r="DZ226" s="4"/>
      <c r="EA226" s="4"/>
      <c r="EB226" s="4"/>
      <c r="EC226" s="4"/>
      <c r="ED226" s="4"/>
    </row>
    <row r="227" spans="2:134" ht="30" customHeight="1" thickBot="1" x14ac:dyDescent="0.35">
      <c r="B227" s="27" t="s">
        <v>223</v>
      </c>
      <c r="C227" s="12" t="s">
        <v>38</v>
      </c>
      <c r="D227" s="28"/>
      <c r="E227" s="47"/>
      <c r="F227" s="48"/>
      <c r="G227" s="29"/>
      <c r="H227" s="29" t="str">
        <f t="shared" si="76"/>
        <v/>
      </c>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c r="CJ227" s="4"/>
      <c r="CK227" s="4"/>
      <c r="CL227" s="4"/>
      <c r="CM227" s="4"/>
      <c r="CN227" s="4"/>
      <c r="CO227" s="4"/>
      <c r="CP227" s="4"/>
      <c r="CQ227" s="4"/>
      <c r="CR227" s="4"/>
      <c r="CS227" s="4"/>
      <c r="CT227" s="4"/>
      <c r="CU227" s="4"/>
      <c r="CV227" s="4"/>
      <c r="CW227" s="4"/>
      <c r="CX227" s="4"/>
      <c r="CY227" s="4"/>
      <c r="CZ227" s="4"/>
      <c r="DA227" s="4"/>
      <c r="DB227" s="4"/>
      <c r="DC227" s="4"/>
      <c r="DD227" s="4"/>
      <c r="DE227" s="4"/>
      <c r="DF227" s="4"/>
      <c r="DG227" s="4"/>
      <c r="DH227" s="4"/>
      <c r="DI227" s="4"/>
      <c r="DJ227" s="4"/>
      <c r="DK227" s="4"/>
      <c r="DL227" s="4"/>
      <c r="DM227" s="4"/>
      <c r="DN227" s="4"/>
      <c r="DO227" s="4"/>
      <c r="DP227" s="4"/>
      <c r="DQ227" s="4"/>
      <c r="DR227" s="4"/>
      <c r="DS227" s="4"/>
      <c r="DT227" s="4"/>
      <c r="DU227" s="4"/>
      <c r="DV227" s="4"/>
      <c r="DW227" s="4"/>
      <c r="DX227" s="4"/>
      <c r="DY227" s="4"/>
      <c r="DZ227" s="4"/>
      <c r="EA227" s="4"/>
      <c r="EB227" s="4"/>
      <c r="EC227" s="4"/>
      <c r="ED227" s="4"/>
    </row>
    <row r="228" spans="2:134" ht="30" customHeight="1" thickBot="1" x14ac:dyDescent="0.35">
      <c r="B228" s="62" t="s">
        <v>224</v>
      </c>
      <c r="C228" s="13" t="s">
        <v>38</v>
      </c>
      <c r="D228" s="30">
        <v>0</v>
      </c>
      <c r="E228" s="49">
        <f>F226</f>
        <v>46407</v>
      </c>
      <c r="F228" s="49">
        <f>E228</f>
        <v>46407</v>
      </c>
      <c r="G228" s="29"/>
      <c r="H228" s="29">
        <f t="shared" si="76"/>
        <v>1</v>
      </c>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c r="CJ228" s="4"/>
      <c r="CK228" s="4"/>
      <c r="CL228" s="4"/>
      <c r="CM228" s="4"/>
      <c r="CN228" s="4"/>
      <c r="CO228" s="4"/>
      <c r="CP228" s="4"/>
      <c r="CQ228" s="4"/>
      <c r="CR228" s="4"/>
      <c r="CS228" s="4"/>
      <c r="CT228" s="4"/>
      <c r="CU228" s="4"/>
      <c r="CV228" s="4"/>
      <c r="CW228" s="4"/>
      <c r="CX228" s="4"/>
      <c r="CY228" s="4"/>
      <c r="CZ228" s="4"/>
      <c r="DA228" s="4"/>
      <c r="DB228" s="4"/>
      <c r="DC228" s="4"/>
      <c r="DD228" s="4"/>
      <c r="DE228" s="4"/>
      <c r="DF228" s="4"/>
      <c r="DG228" s="4"/>
      <c r="DH228" s="4"/>
      <c r="DI228" s="4"/>
      <c r="DJ228" s="4"/>
      <c r="DK228" s="4"/>
      <c r="DL228" s="4"/>
      <c r="DM228" s="4"/>
      <c r="DN228" s="4"/>
      <c r="DO228" s="4"/>
      <c r="DP228" s="4"/>
      <c r="DQ228" s="4"/>
      <c r="DR228" s="4"/>
      <c r="DS228" s="4"/>
      <c r="DT228" s="4"/>
      <c r="DU228" s="4"/>
      <c r="DV228" s="4"/>
      <c r="DW228" s="4"/>
      <c r="DX228" s="4"/>
      <c r="DY228" s="4"/>
      <c r="DZ228" s="4"/>
      <c r="EA228" s="4"/>
      <c r="EB228" s="4"/>
      <c r="EC228" s="4"/>
      <c r="ED228" s="4"/>
    </row>
    <row r="229" spans="2:134" ht="30" customHeight="1" thickBot="1" x14ac:dyDescent="0.35">
      <c r="B229" s="62" t="s">
        <v>225</v>
      </c>
      <c r="C229" s="13" t="s">
        <v>38</v>
      </c>
      <c r="D229" s="30">
        <v>0</v>
      </c>
      <c r="E229" s="49">
        <f>F228</f>
        <v>46407</v>
      </c>
      <c r="F229" s="49">
        <f>E229</f>
        <v>46407</v>
      </c>
      <c r="G229" s="29"/>
      <c r="H229" s="29">
        <f t="shared" si="76"/>
        <v>1</v>
      </c>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c r="DR229" s="4"/>
      <c r="DS229" s="4"/>
      <c r="DT229" s="4"/>
      <c r="DU229" s="4"/>
      <c r="DV229" s="4"/>
      <c r="DW229" s="4"/>
      <c r="DX229" s="4"/>
      <c r="DY229" s="4"/>
      <c r="DZ229" s="4"/>
      <c r="EA229" s="4"/>
      <c r="EB229" s="4"/>
      <c r="EC229" s="4"/>
      <c r="ED229" s="4"/>
    </row>
    <row r="230" spans="2:134" ht="30" customHeight="1" thickBot="1" x14ac:dyDescent="0.35">
      <c r="B230" s="27" t="s">
        <v>158</v>
      </c>
      <c r="C230" s="12" t="s">
        <v>38</v>
      </c>
      <c r="D230" s="28"/>
      <c r="E230" s="47"/>
      <c r="F230" s="48"/>
      <c r="G230" s="29"/>
      <c r="H230" s="29" t="str">
        <f t="shared" si="76"/>
        <v/>
      </c>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c r="CJ230" s="4"/>
      <c r="CK230" s="4"/>
      <c r="CL230" s="4"/>
      <c r="CM230" s="4"/>
      <c r="CN230" s="4"/>
      <c r="CO230" s="4"/>
      <c r="CP230" s="4"/>
      <c r="CQ230" s="4"/>
      <c r="CR230" s="4"/>
      <c r="CS230" s="4"/>
      <c r="CT230" s="4"/>
      <c r="CU230" s="4"/>
      <c r="CV230" s="4"/>
      <c r="CW230" s="4"/>
      <c r="CX230" s="4"/>
      <c r="CY230" s="4"/>
      <c r="CZ230" s="4"/>
      <c r="DA230" s="4"/>
      <c r="DB230" s="4"/>
      <c r="DC230" s="4"/>
      <c r="DD230" s="4"/>
      <c r="DE230" s="4"/>
      <c r="DF230" s="4"/>
      <c r="DG230" s="4"/>
      <c r="DH230" s="4"/>
      <c r="DI230" s="4"/>
      <c r="DJ230" s="4"/>
      <c r="DK230" s="4"/>
      <c r="DL230" s="4"/>
      <c r="DM230" s="4"/>
      <c r="DN230" s="4"/>
      <c r="DO230" s="4"/>
      <c r="DP230" s="4"/>
      <c r="DQ230" s="4"/>
      <c r="DR230" s="4"/>
      <c r="DS230" s="4"/>
      <c r="DT230" s="4"/>
      <c r="DU230" s="4"/>
      <c r="DV230" s="4"/>
      <c r="DW230" s="4"/>
      <c r="DX230" s="4"/>
      <c r="DY230" s="4"/>
      <c r="DZ230" s="4"/>
      <c r="EA230" s="4"/>
      <c r="EB230" s="4"/>
      <c r="EC230" s="4"/>
      <c r="ED230" s="4"/>
    </row>
    <row r="231" spans="2:134" ht="30" customHeight="1" thickBot="1" x14ac:dyDescent="0.35">
      <c r="B231" s="62" t="s">
        <v>157</v>
      </c>
      <c r="C231" s="13" t="s">
        <v>38</v>
      </c>
      <c r="D231" s="30">
        <v>0</v>
      </c>
      <c r="E231" s="49">
        <f>F226</f>
        <v>46407</v>
      </c>
      <c r="F231" s="49">
        <f>E231</f>
        <v>46407</v>
      </c>
      <c r="G231" s="29"/>
      <c r="H231" s="29">
        <f t="shared" si="76"/>
        <v>1</v>
      </c>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c r="CL231" s="4"/>
      <c r="CM231" s="4"/>
      <c r="CN231" s="4"/>
      <c r="CO231" s="4"/>
      <c r="CP231" s="4"/>
      <c r="CQ231" s="4"/>
      <c r="CR231" s="4"/>
      <c r="CS231" s="4"/>
      <c r="CT231" s="4"/>
      <c r="CU231" s="4"/>
      <c r="CV231" s="4"/>
      <c r="CW231" s="4"/>
      <c r="CX231" s="4"/>
      <c r="CY231" s="4"/>
      <c r="CZ231" s="4"/>
      <c r="DA231" s="4"/>
      <c r="DB231" s="4"/>
      <c r="DC231" s="4"/>
      <c r="DD231" s="4"/>
      <c r="DE231" s="4"/>
      <c r="DF231" s="4"/>
      <c r="DG231" s="4"/>
      <c r="DH231" s="4"/>
      <c r="DI231" s="4"/>
      <c r="DJ231" s="4"/>
      <c r="DK231" s="4"/>
      <c r="DL231" s="4"/>
      <c r="DM231" s="4"/>
      <c r="DN231" s="4"/>
      <c r="DO231" s="4"/>
      <c r="DP231" s="4"/>
      <c r="DQ231" s="4"/>
      <c r="DR231" s="4"/>
      <c r="DS231" s="4"/>
      <c r="DT231" s="4"/>
      <c r="DU231" s="4"/>
      <c r="DV231" s="4"/>
      <c r="DW231" s="4"/>
      <c r="DX231" s="4"/>
      <c r="DY231" s="4"/>
      <c r="DZ231" s="4"/>
      <c r="EA231" s="4"/>
      <c r="EB231" s="4"/>
      <c r="EC231" s="4"/>
      <c r="ED231" s="4"/>
    </row>
    <row r="232" spans="2:134" ht="30" customHeight="1" thickBot="1" x14ac:dyDescent="0.35">
      <c r="B232" s="62" t="s">
        <v>156</v>
      </c>
      <c r="C232" s="13" t="s">
        <v>38</v>
      </c>
      <c r="D232" s="30">
        <v>0</v>
      </c>
      <c r="E232" s="49">
        <f>F231</f>
        <v>46407</v>
      </c>
      <c r="F232" s="49">
        <f>E232</f>
        <v>46407</v>
      </c>
      <c r="G232" s="29"/>
      <c r="H232" s="29">
        <f t="shared" si="76"/>
        <v>1</v>
      </c>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c r="CJ232" s="4"/>
      <c r="CK232" s="4"/>
      <c r="CL232" s="4"/>
      <c r="CM232" s="4"/>
      <c r="CN232" s="4"/>
      <c r="CO232" s="4"/>
      <c r="CP232" s="4"/>
      <c r="CQ232" s="4"/>
      <c r="CR232" s="4"/>
      <c r="CS232" s="4"/>
      <c r="CT232" s="4"/>
      <c r="CU232" s="4"/>
      <c r="CV232" s="4"/>
      <c r="CW232" s="4"/>
      <c r="CX232" s="4"/>
      <c r="CY232" s="4"/>
      <c r="CZ232" s="4"/>
      <c r="DA232" s="4"/>
      <c r="DB232" s="4"/>
      <c r="DC232" s="4"/>
      <c r="DD232" s="4"/>
      <c r="DE232" s="4"/>
      <c r="DF232" s="4"/>
      <c r="DG232" s="4"/>
      <c r="DH232" s="4"/>
      <c r="DI232" s="4"/>
      <c r="DJ232" s="4"/>
      <c r="DK232" s="4"/>
      <c r="DL232" s="4"/>
      <c r="DM232" s="4"/>
      <c r="DN232" s="4"/>
      <c r="DO232" s="4"/>
      <c r="DP232" s="4"/>
      <c r="DQ232" s="4"/>
      <c r="DR232" s="4"/>
      <c r="DS232" s="4"/>
      <c r="DT232" s="4"/>
      <c r="DU232" s="4"/>
      <c r="DV232" s="4"/>
      <c r="DW232" s="4"/>
      <c r="DX232" s="4"/>
      <c r="DY232" s="4"/>
      <c r="DZ232" s="4"/>
      <c r="EA232" s="4"/>
      <c r="EB232" s="4"/>
      <c r="EC232" s="4"/>
      <c r="ED232" s="4"/>
    </row>
    <row r="233" spans="2:134" ht="30" customHeight="1" thickBot="1" x14ac:dyDescent="0.35">
      <c r="B233" s="27" t="s">
        <v>159</v>
      </c>
      <c r="C233" s="12" t="s">
        <v>38</v>
      </c>
      <c r="D233" s="28"/>
      <c r="E233" s="47"/>
      <c r="F233" s="48"/>
      <c r="G233" s="29"/>
      <c r="H233" s="29" t="str">
        <f t="shared" si="76"/>
        <v/>
      </c>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c r="CJ233" s="4"/>
      <c r="CK233" s="4"/>
      <c r="CL233" s="4"/>
      <c r="CM233" s="4"/>
      <c r="CN233" s="4"/>
      <c r="CO233" s="4"/>
      <c r="CP233" s="4"/>
      <c r="CQ233" s="4"/>
      <c r="CR233" s="4"/>
      <c r="CS233" s="4"/>
      <c r="CT233" s="4"/>
      <c r="CU233" s="4"/>
      <c r="CV233" s="4"/>
      <c r="CW233" s="4"/>
      <c r="CX233" s="4"/>
      <c r="CY233" s="4"/>
      <c r="CZ233" s="4"/>
      <c r="DA233" s="4"/>
      <c r="DB233" s="4"/>
      <c r="DC233" s="4"/>
      <c r="DD233" s="4"/>
      <c r="DE233" s="4"/>
      <c r="DF233" s="4"/>
      <c r="DG233" s="4"/>
      <c r="DH233" s="4"/>
      <c r="DI233" s="4"/>
      <c r="DJ233" s="4"/>
      <c r="DK233" s="4"/>
      <c r="DL233" s="4"/>
      <c r="DM233" s="4"/>
      <c r="DN233" s="4"/>
      <c r="DO233" s="4"/>
      <c r="DP233" s="4"/>
      <c r="DQ233" s="4"/>
      <c r="DR233" s="4"/>
      <c r="DS233" s="4"/>
      <c r="DT233" s="4"/>
      <c r="DU233" s="4"/>
      <c r="DV233" s="4"/>
      <c r="DW233" s="4"/>
      <c r="DX233" s="4"/>
      <c r="DY233" s="4"/>
      <c r="DZ233" s="4"/>
      <c r="EA233" s="4"/>
      <c r="EB233" s="4"/>
      <c r="EC233" s="4"/>
      <c r="ED233" s="4"/>
    </row>
    <row r="234" spans="2:134" ht="30" customHeight="1" thickBot="1" x14ac:dyDescent="0.35">
      <c r="B234" s="62" t="s">
        <v>160</v>
      </c>
      <c r="C234" s="13" t="s">
        <v>38</v>
      </c>
      <c r="D234" s="30">
        <v>0</v>
      </c>
      <c r="E234" s="49">
        <f>F232</f>
        <v>46407</v>
      </c>
      <c r="F234" s="49">
        <f>E234</f>
        <v>46407</v>
      </c>
      <c r="G234" s="29"/>
      <c r="H234" s="29">
        <f t="shared" si="76"/>
        <v>1</v>
      </c>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c r="CJ234" s="4"/>
      <c r="CK234" s="4"/>
      <c r="CL234" s="4"/>
      <c r="CM234" s="4"/>
      <c r="CN234" s="4"/>
      <c r="CO234" s="4"/>
      <c r="CP234" s="4"/>
      <c r="CQ234" s="4"/>
      <c r="CR234" s="4"/>
      <c r="CS234" s="4"/>
      <c r="CT234" s="4"/>
      <c r="CU234" s="4"/>
      <c r="CV234" s="4"/>
      <c r="CW234" s="4"/>
      <c r="CX234" s="4"/>
      <c r="CY234" s="4"/>
      <c r="CZ234" s="4"/>
      <c r="DA234" s="4"/>
      <c r="DB234" s="4"/>
      <c r="DC234" s="4"/>
      <c r="DD234" s="4"/>
      <c r="DE234" s="4"/>
      <c r="DF234" s="4"/>
      <c r="DG234" s="4"/>
      <c r="DH234" s="4"/>
      <c r="DI234" s="4"/>
      <c r="DJ234" s="4"/>
      <c r="DK234" s="4"/>
      <c r="DL234" s="4"/>
      <c r="DM234" s="4"/>
      <c r="DN234" s="4"/>
      <c r="DO234" s="4"/>
      <c r="DP234" s="4"/>
      <c r="DQ234" s="4"/>
      <c r="DR234" s="4"/>
      <c r="DS234" s="4"/>
      <c r="DT234" s="4"/>
      <c r="DU234" s="4"/>
      <c r="DV234" s="4"/>
      <c r="DW234" s="4"/>
      <c r="DX234" s="4"/>
      <c r="DY234" s="4"/>
      <c r="DZ234" s="4"/>
      <c r="EA234" s="4"/>
      <c r="EB234" s="4"/>
      <c r="EC234" s="4"/>
      <c r="ED234" s="4"/>
    </row>
    <row r="235" spans="2:134" ht="30" customHeight="1" thickBot="1" x14ac:dyDescent="0.35">
      <c r="B235" s="62" t="s">
        <v>161</v>
      </c>
      <c r="C235" s="13" t="s">
        <v>38</v>
      </c>
      <c r="D235" s="30">
        <v>0</v>
      </c>
      <c r="E235" s="49">
        <f>F234</f>
        <v>46407</v>
      </c>
      <c r="F235" s="49">
        <f>E235</f>
        <v>46407</v>
      </c>
      <c r="G235" s="29"/>
      <c r="H235" s="29">
        <f t="shared" si="76"/>
        <v>1</v>
      </c>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c r="CJ235" s="4"/>
      <c r="CK235" s="4"/>
      <c r="CL235" s="4"/>
      <c r="CM235" s="4"/>
      <c r="CN235" s="4"/>
      <c r="CO235" s="4"/>
      <c r="CP235" s="4"/>
      <c r="CQ235" s="4"/>
      <c r="CR235" s="4"/>
      <c r="CS235" s="4"/>
      <c r="CT235" s="4"/>
      <c r="CU235" s="4"/>
      <c r="CV235" s="4"/>
      <c r="CW235" s="4"/>
      <c r="CX235" s="4"/>
      <c r="CY235" s="4"/>
      <c r="CZ235" s="4"/>
      <c r="DA235" s="4"/>
      <c r="DB235" s="4"/>
      <c r="DC235" s="4"/>
      <c r="DD235" s="4"/>
      <c r="DE235" s="4"/>
      <c r="DF235" s="4"/>
      <c r="DG235" s="4"/>
      <c r="DH235" s="4"/>
      <c r="DI235" s="4"/>
      <c r="DJ235" s="4"/>
      <c r="DK235" s="4"/>
      <c r="DL235" s="4"/>
      <c r="DM235" s="4"/>
      <c r="DN235" s="4"/>
      <c r="DO235" s="4"/>
      <c r="DP235" s="4"/>
      <c r="DQ235" s="4"/>
      <c r="DR235" s="4"/>
      <c r="DS235" s="4"/>
      <c r="DT235" s="4"/>
      <c r="DU235" s="4"/>
      <c r="DV235" s="4"/>
      <c r="DW235" s="4"/>
      <c r="DX235" s="4"/>
      <c r="DY235" s="4"/>
      <c r="DZ235" s="4"/>
      <c r="EA235" s="4"/>
      <c r="EB235" s="4"/>
      <c r="EC235" s="4"/>
      <c r="ED235" s="4"/>
    </row>
    <row r="236" spans="2:134" ht="30" customHeight="1" thickBot="1" x14ac:dyDescent="0.35">
      <c r="B236" s="27" t="s">
        <v>162</v>
      </c>
      <c r="C236" s="12" t="s">
        <v>38</v>
      </c>
      <c r="D236" s="28"/>
      <c r="E236" s="47"/>
      <c r="F236" s="48"/>
      <c r="G236" s="29"/>
      <c r="H236" s="29" t="str">
        <f t="shared" si="76"/>
        <v/>
      </c>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c r="CJ236" s="4"/>
      <c r="CK236" s="4"/>
      <c r="CL236" s="4"/>
      <c r="CM236" s="4"/>
      <c r="CN236" s="4"/>
      <c r="CO236" s="4"/>
      <c r="CP236" s="4"/>
      <c r="CQ236" s="4"/>
      <c r="CR236" s="4"/>
      <c r="CS236" s="4"/>
      <c r="CT236" s="4"/>
      <c r="CU236" s="4"/>
      <c r="CV236" s="4"/>
      <c r="CW236" s="4"/>
      <c r="CX236" s="4"/>
      <c r="CY236" s="4"/>
      <c r="CZ236" s="4"/>
      <c r="DA236" s="4"/>
      <c r="DB236" s="4"/>
      <c r="DC236" s="4"/>
      <c r="DD236" s="4"/>
      <c r="DE236" s="4"/>
      <c r="DF236" s="4"/>
      <c r="DG236" s="4"/>
      <c r="DH236" s="4"/>
      <c r="DI236" s="4"/>
      <c r="DJ236" s="4"/>
      <c r="DK236" s="4"/>
      <c r="DL236" s="4"/>
      <c r="DM236" s="4"/>
      <c r="DN236" s="4"/>
      <c r="DO236" s="4"/>
      <c r="DP236" s="4"/>
      <c r="DQ236" s="4"/>
      <c r="DR236" s="4"/>
      <c r="DS236" s="4"/>
      <c r="DT236" s="4"/>
      <c r="DU236" s="4"/>
      <c r="DV236" s="4"/>
      <c r="DW236" s="4"/>
      <c r="DX236" s="4"/>
      <c r="DY236" s="4"/>
      <c r="DZ236" s="4"/>
      <c r="EA236" s="4"/>
      <c r="EB236" s="4"/>
      <c r="EC236" s="4"/>
      <c r="ED236" s="4"/>
    </row>
    <row r="237" spans="2:134" ht="30" customHeight="1" thickBot="1" x14ac:dyDescent="0.35">
      <c r="B237" s="62" t="s">
        <v>163</v>
      </c>
      <c r="C237" s="13" t="s">
        <v>38</v>
      </c>
      <c r="D237" s="30">
        <v>0</v>
      </c>
      <c r="E237" s="49">
        <f>F235+1</f>
        <v>46408</v>
      </c>
      <c r="F237" s="49">
        <f>E237</f>
        <v>46408</v>
      </c>
      <c r="G237" s="29"/>
      <c r="H237" s="29">
        <f t="shared" si="76"/>
        <v>1</v>
      </c>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c r="CJ237" s="4"/>
      <c r="CK237" s="4"/>
      <c r="CL237" s="4"/>
      <c r="CM237" s="4"/>
      <c r="CN237" s="4"/>
      <c r="CO237" s="4"/>
      <c r="CP237" s="4"/>
      <c r="CQ237" s="4"/>
      <c r="CR237" s="4"/>
      <c r="CS237" s="4"/>
      <c r="CT237" s="4"/>
      <c r="CU237" s="4"/>
      <c r="CV237" s="4"/>
      <c r="CW237" s="4"/>
      <c r="CX237" s="4"/>
      <c r="CY237" s="4"/>
      <c r="CZ237" s="4"/>
      <c r="DA237" s="4"/>
      <c r="DB237" s="4"/>
      <c r="DC237" s="4"/>
      <c r="DD237" s="4"/>
      <c r="DE237" s="4"/>
      <c r="DF237" s="4"/>
      <c r="DG237" s="4"/>
      <c r="DH237" s="4"/>
      <c r="DI237" s="4"/>
      <c r="DJ237" s="4"/>
      <c r="DK237" s="4"/>
      <c r="DL237" s="4"/>
      <c r="DM237" s="4"/>
      <c r="DN237" s="4"/>
      <c r="DO237" s="4"/>
      <c r="DP237" s="4"/>
      <c r="DQ237" s="4"/>
      <c r="DR237" s="4"/>
      <c r="DS237" s="4"/>
      <c r="DT237" s="4"/>
      <c r="DU237" s="4"/>
      <c r="DV237" s="4"/>
      <c r="DW237" s="4"/>
      <c r="DX237" s="4"/>
      <c r="DY237" s="4"/>
      <c r="DZ237" s="4"/>
      <c r="EA237" s="4"/>
      <c r="EB237" s="4"/>
      <c r="EC237" s="4"/>
      <c r="ED237" s="4"/>
    </row>
    <row r="238" spans="2:134" ht="30" customHeight="1" thickBot="1" x14ac:dyDescent="0.35">
      <c r="B238" s="62" t="s">
        <v>164</v>
      </c>
      <c r="C238" s="13" t="s">
        <v>38</v>
      </c>
      <c r="D238" s="30">
        <v>0</v>
      </c>
      <c r="E238" s="49">
        <f>F237</f>
        <v>46408</v>
      </c>
      <c r="F238" s="49">
        <f>E238</f>
        <v>46408</v>
      </c>
      <c r="G238" s="29"/>
      <c r="H238" s="29">
        <f t="shared" si="76"/>
        <v>1</v>
      </c>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c r="CJ238" s="4"/>
      <c r="CK238" s="4"/>
      <c r="CL238" s="4"/>
      <c r="CM238" s="4"/>
      <c r="CN238" s="4"/>
      <c r="CO238" s="4"/>
      <c r="CP238" s="4"/>
      <c r="CQ238" s="4"/>
      <c r="CR238" s="4"/>
      <c r="CS238" s="4"/>
      <c r="CT238" s="4"/>
      <c r="CU238" s="4"/>
      <c r="CV238" s="4"/>
      <c r="CW238" s="4"/>
      <c r="CX238" s="4"/>
      <c r="CY238" s="4"/>
      <c r="CZ238" s="4"/>
      <c r="DA238" s="4"/>
      <c r="DB238" s="4"/>
      <c r="DC238" s="4"/>
      <c r="DD238" s="4"/>
      <c r="DE238" s="4"/>
      <c r="DF238" s="4"/>
      <c r="DG238" s="4"/>
      <c r="DH238" s="4"/>
      <c r="DI238" s="4"/>
      <c r="DJ238" s="4"/>
      <c r="DK238" s="4"/>
      <c r="DL238" s="4"/>
      <c r="DM238" s="4"/>
      <c r="DN238" s="4"/>
      <c r="DO238" s="4"/>
      <c r="DP238" s="4"/>
      <c r="DQ238" s="4"/>
      <c r="DR238" s="4"/>
      <c r="DS238" s="4"/>
      <c r="DT238" s="4"/>
      <c r="DU238" s="4"/>
      <c r="DV238" s="4"/>
      <c r="DW238" s="4"/>
      <c r="DX238" s="4"/>
      <c r="DY238" s="4"/>
      <c r="DZ238" s="4"/>
      <c r="EA238" s="4"/>
      <c r="EB238" s="4"/>
      <c r="EC238" s="4"/>
      <c r="ED238" s="4"/>
    </row>
    <row r="239" spans="2:134" ht="30" customHeight="1" thickBot="1" x14ac:dyDescent="0.35">
      <c r="B239" s="27" t="s">
        <v>165</v>
      </c>
      <c r="C239" s="12" t="s">
        <v>38</v>
      </c>
      <c r="D239" s="28"/>
      <c r="E239" s="47"/>
      <c r="F239" s="48"/>
      <c r="G239" s="29"/>
      <c r="H239" s="29" t="str">
        <f t="shared" si="76"/>
        <v/>
      </c>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c r="CJ239" s="4"/>
      <c r="CK239" s="4"/>
      <c r="CL239" s="4"/>
      <c r="CM239" s="4"/>
      <c r="CN239" s="4"/>
      <c r="CO239" s="4"/>
      <c r="CP239" s="4"/>
      <c r="CQ239" s="4"/>
      <c r="CR239" s="4"/>
      <c r="CS239" s="4"/>
      <c r="CT239" s="4"/>
      <c r="CU239" s="4"/>
      <c r="CV239" s="4"/>
      <c r="CW239" s="4"/>
      <c r="CX239" s="4"/>
      <c r="CY239" s="4"/>
      <c r="CZ239" s="4"/>
      <c r="DA239" s="4"/>
      <c r="DB239" s="4"/>
      <c r="DC239" s="4"/>
      <c r="DD239" s="4"/>
      <c r="DE239" s="4"/>
      <c r="DF239" s="4"/>
      <c r="DG239" s="4"/>
      <c r="DH239" s="4"/>
      <c r="DI239" s="4"/>
      <c r="DJ239" s="4"/>
      <c r="DK239" s="4"/>
      <c r="DL239" s="4"/>
      <c r="DM239" s="4"/>
      <c r="DN239" s="4"/>
      <c r="DO239" s="4"/>
      <c r="DP239" s="4"/>
      <c r="DQ239" s="4"/>
      <c r="DR239" s="4"/>
      <c r="DS239" s="4"/>
      <c r="DT239" s="4"/>
      <c r="DU239" s="4"/>
      <c r="DV239" s="4"/>
      <c r="DW239" s="4"/>
      <c r="DX239" s="4"/>
      <c r="DY239" s="4"/>
      <c r="DZ239" s="4"/>
      <c r="EA239" s="4"/>
      <c r="EB239" s="4"/>
      <c r="EC239" s="4"/>
      <c r="ED239" s="4"/>
    </row>
    <row r="240" spans="2:134" ht="30" customHeight="1" thickBot="1" x14ac:dyDescent="0.35">
      <c r="B240" s="62" t="s">
        <v>166</v>
      </c>
      <c r="C240" s="13" t="s">
        <v>38</v>
      </c>
      <c r="D240" s="30">
        <v>0</v>
      </c>
      <c r="E240" s="49">
        <f>F238</f>
        <v>46408</v>
      </c>
      <c r="F240" s="49">
        <f>E240</f>
        <v>46408</v>
      </c>
      <c r="G240" s="29"/>
      <c r="H240" s="29">
        <f t="shared" si="76"/>
        <v>1</v>
      </c>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c r="CJ240" s="4"/>
      <c r="CK240" s="4"/>
      <c r="CL240" s="4"/>
      <c r="CM240" s="4"/>
      <c r="CN240" s="4"/>
      <c r="CO240" s="4"/>
      <c r="CP240" s="4"/>
      <c r="CQ240" s="4"/>
      <c r="CR240" s="4"/>
      <c r="CS240" s="4"/>
      <c r="CT240" s="4"/>
      <c r="CU240" s="4"/>
      <c r="CV240" s="4"/>
      <c r="CW240" s="4"/>
      <c r="CX240" s="4"/>
      <c r="CY240" s="4"/>
      <c r="CZ240" s="4"/>
      <c r="DA240" s="4"/>
      <c r="DB240" s="4"/>
      <c r="DC240" s="4"/>
      <c r="DD240" s="4"/>
      <c r="DE240" s="4"/>
      <c r="DF240" s="4"/>
      <c r="DG240" s="4"/>
      <c r="DH240" s="4"/>
      <c r="DI240" s="4"/>
      <c r="DJ240" s="4"/>
      <c r="DK240" s="4"/>
      <c r="DL240" s="4"/>
      <c r="DM240" s="4"/>
      <c r="DN240" s="4"/>
      <c r="DO240" s="4"/>
      <c r="DP240" s="4"/>
      <c r="DQ240" s="4"/>
      <c r="DR240" s="4"/>
      <c r="DS240" s="4"/>
      <c r="DT240" s="4"/>
      <c r="DU240" s="4"/>
      <c r="DV240" s="4"/>
      <c r="DW240" s="4"/>
      <c r="DX240" s="4"/>
      <c r="DY240" s="4"/>
      <c r="DZ240" s="4"/>
      <c r="EA240" s="4"/>
      <c r="EB240" s="4"/>
      <c r="EC240" s="4"/>
      <c r="ED240" s="4"/>
    </row>
    <row r="241" spans="2:134" ht="30" customHeight="1" thickBot="1" x14ac:dyDescent="0.35">
      <c r="B241" s="62" t="s">
        <v>167</v>
      </c>
      <c r="C241" s="13" t="s">
        <v>38</v>
      </c>
      <c r="D241" s="30">
        <v>0</v>
      </c>
      <c r="E241" s="49">
        <f>F240</f>
        <v>46408</v>
      </c>
      <c r="F241" s="49">
        <f>E241</f>
        <v>46408</v>
      </c>
      <c r="G241" s="29"/>
      <c r="H241" s="29">
        <f t="shared" si="76"/>
        <v>1</v>
      </c>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c r="CJ241" s="4"/>
      <c r="CK241" s="4"/>
      <c r="CL241" s="4"/>
      <c r="CM241" s="4"/>
      <c r="CN241" s="4"/>
      <c r="CO241" s="4"/>
      <c r="CP241" s="4"/>
      <c r="CQ241" s="4"/>
      <c r="CR241" s="4"/>
      <c r="CS241" s="4"/>
      <c r="CT241" s="4"/>
      <c r="CU241" s="4"/>
      <c r="CV241" s="4"/>
      <c r="CW241" s="4"/>
      <c r="CX241" s="4"/>
      <c r="CY241" s="4"/>
      <c r="CZ241" s="4"/>
      <c r="DA241" s="4"/>
      <c r="DB241" s="4"/>
      <c r="DC241" s="4"/>
      <c r="DD241" s="4"/>
      <c r="DE241" s="4"/>
      <c r="DF241" s="4"/>
      <c r="DG241" s="4"/>
      <c r="DH241" s="4"/>
      <c r="DI241" s="4"/>
      <c r="DJ241" s="4"/>
      <c r="DK241" s="4"/>
      <c r="DL241" s="4"/>
      <c r="DM241" s="4"/>
      <c r="DN241" s="4"/>
      <c r="DO241" s="4"/>
      <c r="DP241" s="4"/>
      <c r="DQ241" s="4"/>
      <c r="DR241" s="4"/>
      <c r="DS241" s="4"/>
      <c r="DT241" s="4"/>
      <c r="DU241" s="4"/>
      <c r="DV241" s="4"/>
      <c r="DW241" s="4"/>
      <c r="DX241" s="4"/>
      <c r="DY241" s="4"/>
      <c r="DZ241" s="4"/>
      <c r="EA241" s="4"/>
      <c r="EB241" s="4"/>
      <c r="EC241" s="4"/>
      <c r="ED241" s="4"/>
    </row>
    <row r="242" spans="2:134" ht="30" customHeight="1" thickBot="1" x14ac:dyDescent="0.35">
      <c r="B242" s="27" t="s">
        <v>168</v>
      </c>
      <c r="C242" s="12" t="s">
        <v>38</v>
      </c>
      <c r="D242" s="28"/>
      <c r="E242" s="47"/>
      <c r="F242" s="48"/>
      <c r="G242" s="29"/>
      <c r="H242" s="29" t="str">
        <f t="shared" si="76"/>
        <v/>
      </c>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c r="CJ242" s="4"/>
      <c r="CK242" s="4"/>
      <c r="CL242" s="4"/>
      <c r="CM242" s="4"/>
      <c r="CN242" s="4"/>
      <c r="CO242" s="4"/>
      <c r="CP242" s="4"/>
      <c r="CQ242" s="4"/>
      <c r="CR242" s="4"/>
      <c r="CS242" s="4"/>
      <c r="CT242" s="4"/>
      <c r="CU242" s="4"/>
      <c r="CV242" s="4"/>
      <c r="CW242" s="4"/>
      <c r="CX242" s="4"/>
      <c r="CY242" s="4"/>
      <c r="CZ242" s="4"/>
      <c r="DA242" s="4"/>
      <c r="DB242" s="4"/>
      <c r="DC242" s="4"/>
      <c r="DD242" s="4"/>
      <c r="DE242" s="4"/>
      <c r="DF242" s="4"/>
      <c r="DG242" s="4"/>
      <c r="DH242" s="4"/>
      <c r="DI242" s="4"/>
      <c r="DJ242" s="4"/>
      <c r="DK242" s="4"/>
      <c r="DL242" s="4"/>
      <c r="DM242" s="4"/>
      <c r="DN242" s="4"/>
      <c r="DO242" s="4"/>
      <c r="DP242" s="4"/>
      <c r="DQ242" s="4"/>
      <c r="DR242" s="4"/>
      <c r="DS242" s="4"/>
      <c r="DT242" s="4"/>
      <c r="DU242" s="4"/>
      <c r="DV242" s="4"/>
      <c r="DW242" s="4"/>
      <c r="DX242" s="4"/>
      <c r="DY242" s="4"/>
      <c r="DZ242" s="4"/>
      <c r="EA242" s="4"/>
      <c r="EB242" s="4"/>
      <c r="EC242" s="4"/>
      <c r="ED242" s="4"/>
    </row>
    <row r="243" spans="2:134" ht="30" customHeight="1" thickBot="1" x14ac:dyDescent="0.35">
      <c r="B243" s="62" t="s">
        <v>169</v>
      </c>
      <c r="C243" s="13" t="s">
        <v>38</v>
      </c>
      <c r="D243" s="30">
        <v>0</v>
      </c>
      <c r="E243" s="49">
        <f>F241</f>
        <v>46408</v>
      </c>
      <c r="F243" s="49">
        <f>E243</f>
        <v>46408</v>
      </c>
      <c r="G243" s="29"/>
      <c r="H243" s="29">
        <f t="shared" si="76"/>
        <v>1</v>
      </c>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c r="CJ243" s="4"/>
      <c r="CK243" s="4"/>
      <c r="CL243" s="4"/>
      <c r="CM243" s="4"/>
      <c r="CN243" s="4"/>
      <c r="CO243" s="4"/>
      <c r="CP243" s="4"/>
      <c r="CQ243" s="4"/>
      <c r="CR243" s="4"/>
      <c r="CS243" s="4"/>
      <c r="CT243" s="4"/>
      <c r="CU243" s="4"/>
      <c r="CV243" s="4"/>
      <c r="CW243" s="4"/>
      <c r="CX243" s="4"/>
      <c r="CY243" s="4"/>
      <c r="CZ243" s="4"/>
      <c r="DA243" s="4"/>
      <c r="DB243" s="4"/>
      <c r="DC243" s="4"/>
      <c r="DD243" s="4"/>
      <c r="DE243" s="4"/>
      <c r="DF243" s="4"/>
      <c r="DG243" s="4"/>
      <c r="DH243" s="4"/>
      <c r="DI243" s="4"/>
      <c r="DJ243" s="4"/>
      <c r="DK243" s="4"/>
      <c r="DL243" s="4"/>
      <c r="DM243" s="4"/>
      <c r="DN243" s="4"/>
      <c r="DO243" s="4"/>
      <c r="DP243" s="4"/>
      <c r="DQ243" s="4"/>
      <c r="DR243" s="4"/>
      <c r="DS243" s="4"/>
      <c r="DT243" s="4"/>
      <c r="DU243" s="4"/>
      <c r="DV243" s="4"/>
      <c r="DW243" s="4"/>
      <c r="DX243" s="4"/>
      <c r="DY243" s="4"/>
      <c r="DZ243" s="4"/>
      <c r="EA243" s="4"/>
      <c r="EB243" s="4"/>
      <c r="EC243" s="4"/>
      <c r="ED243" s="4"/>
    </row>
    <row r="244" spans="2:134" ht="30" customHeight="1" thickBot="1" x14ac:dyDescent="0.35">
      <c r="B244" s="62" t="s">
        <v>170</v>
      </c>
      <c r="C244" s="13" t="s">
        <v>38</v>
      </c>
      <c r="D244" s="30">
        <v>0</v>
      </c>
      <c r="E244" s="49">
        <f>F243</f>
        <v>46408</v>
      </c>
      <c r="F244" s="49">
        <f>E244</f>
        <v>46408</v>
      </c>
      <c r="G244" s="29"/>
      <c r="H244" s="29">
        <f t="shared" si="76"/>
        <v>1</v>
      </c>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c r="CJ244" s="4"/>
      <c r="CK244" s="4"/>
      <c r="CL244" s="4"/>
      <c r="CM244" s="4"/>
      <c r="CN244" s="4"/>
      <c r="CO244" s="4"/>
      <c r="CP244" s="4"/>
      <c r="CQ244" s="4"/>
      <c r="CR244" s="4"/>
      <c r="CS244" s="4"/>
      <c r="CT244" s="4"/>
      <c r="CU244" s="4"/>
      <c r="CV244" s="4"/>
      <c r="CW244" s="4"/>
      <c r="CX244" s="4"/>
      <c r="CY244" s="4"/>
      <c r="CZ244" s="4"/>
      <c r="DA244" s="4"/>
      <c r="DB244" s="4"/>
      <c r="DC244" s="4"/>
      <c r="DD244" s="4"/>
      <c r="DE244" s="4"/>
      <c r="DF244" s="4"/>
      <c r="DG244" s="4"/>
      <c r="DH244" s="4"/>
      <c r="DI244" s="4"/>
      <c r="DJ244" s="4"/>
      <c r="DK244" s="4"/>
      <c r="DL244" s="4"/>
      <c r="DM244" s="4"/>
      <c r="DN244" s="4"/>
      <c r="DO244" s="4"/>
      <c r="DP244" s="4"/>
      <c r="DQ244" s="4"/>
      <c r="DR244" s="4"/>
      <c r="DS244" s="4"/>
      <c r="DT244" s="4"/>
      <c r="DU244" s="4"/>
      <c r="DV244" s="4"/>
      <c r="DW244" s="4"/>
      <c r="DX244" s="4"/>
      <c r="DY244" s="4"/>
      <c r="DZ244" s="4"/>
      <c r="EA244" s="4"/>
      <c r="EB244" s="4"/>
      <c r="EC244" s="4"/>
      <c r="ED244" s="4"/>
    </row>
    <row r="245" spans="2:134" ht="30" customHeight="1" thickBot="1" x14ac:dyDescent="0.35">
      <c r="B245" s="27" t="s">
        <v>171</v>
      </c>
      <c r="C245" s="12" t="s">
        <v>38</v>
      </c>
      <c r="D245" s="28"/>
      <c r="E245" s="47"/>
      <c r="F245" s="48"/>
      <c r="G245" s="29"/>
      <c r="H245" s="29" t="str">
        <f t="shared" si="76"/>
        <v/>
      </c>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c r="CJ245" s="4"/>
      <c r="CK245" s="4"/>
      <c r="CL245" s="4"/>
      <c r="CM245" s="4"/>
      <c r="CN245" s="4"/>
      <c r="CO245" s="4"/>
      <c r="CP245" s="4"/>
      <c r="CQ245" s="4"/>
      <c r="CR245" s="4"/>
      <c r="CS245" s="4"/>
      <c r="CT245" s="4"/>
      <c r="CU245" s="4"/>
      <c r="CV245" s="4"/>
      <c r="CW245" s="4"/>
      <c r="CX245" s="4"/>
      <c r="CY245" s="4"/>
      <c r="CZ245" s="4"/>
      <c r="DA245" s="4"/>
      <c r="DB245" s="4"/>
      <c r="DC245" s="4"/>
      <c r="DD245" s="4"/>
      <c r="DE245" s="4"/>
      <c r="DF245" s="4"/>
      <c r="DG245" s="4"/>
      <c r="DH245" s="4"/>
      <c r="DI245" s="4"/>
      <c r="DJ245" s="4"/>
      <c r="DK245" s="4"/>
      <c r="DL245" s="4"/>
      <c r="DM245" s="4"/>
      <c r="DN245" s="4"/>
      <c r="DO245" s="4"/>
      <c r="DP245" s="4"/>
      <c r="DQ245" s="4"/>
      <c r="DR245" s="4"/>
      <c r="DS245" s="4"/>
      <c r="DT245" s="4"/>
      <c r="DU245" s="4"/>
      <c r="DV245" s="4"/>
      <c r="DW245" s="4"/>
      <c r="DX245" s="4"/>
      <c r="DY245" s="4"/>
      <c r="DZ245" s="4"/>
      <c r="EA245" s="4"/>
      <c r="EB245" s="4"/>
      <c r="EC245" s="4"/>
      <c r="ED245" s="4"/>
    </row>
    <row r="246" spans="2:134" ht="30" customHeight="1" thickBot="1" x14ac:dyDescent="0.35">
      <c r="B246" s="62" t="s">
        <v>172</v>
      </c>
      <c r="C246" s="13" t="s">
        <v>38</v>
      </c>
      <c r="D246" s="30">
        <v>0</v>
      </c>
      <c r="E246" s="49">
        <f>F244</f>
        <v>46408</v>
      </c>
      <c r="F246" s="49">
        <f>E246</f>
        <v>46408</v>
      </c>
      <c r="G246" s="29"/>
      <c r="H246" s="29">
        <f t="shared" si="76"/>
        <v>1</v>
      </c>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c r="DG246" s="4"/>
      <c r="DH246" s="4"/>
      <c r="DI246" s="4"/>
      <c r="DJ246" s="4"/>
      <c r="DK246" s="4"/>
      <c r="DL246" s="4"/>
      <c r="DM246" s="4"/>
      <c r="DN246" s="4"/>
      <c r="DO246" s="4"/>
      <c r="DP246" s="4"/>
      <c r="DQ246" s="4"/>
      <c r="DR246" s="4"/>
      <c r="DS246" s="4"/>
      <c r="DT246" s="4"/>
      <c r="DU246" s="4"/>
      <c r="DV246" s="4"/>
      <c r="DW246" s="4"/>
      <c r="DX246" s="4"/>
      <c r="DY246" s="4"/>
      <c r="DZ246" s="4"/>
      <c r="EA246" s="4"/>
      <c r="EB246" s="4"/>
      <c r="EC246" s="4"/>
      <c r="ED246" s="4"/>
    </row>
    <row r="247" spans="2:134" ht="30" customHeight="1" thickBot="1" x14ac:dyDescent="0.35">
      <c r="B247" s="62" t="s">
        <v>173</v>
      </c>
      <c r="C247" s="13" t="s">
        <v>38</v>
      </c>
      <c r="D247" s="30">
        <v>0</v>
      </c>
      <c r="E247" s="49">
        <f>F246</f>
        <v>46408</v>
      </c>
      <c r="F247" s="49">
        <f>E247</f>
        <v>46408</v>
      </c>
      <c r="G247" s="29"/>
      <c r="H247" s="29">
        <f t="shared" si="76"/>
        <v>1</v>
      </c>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c r="CJ247" s="4"/>
      <c r="CK247" s="4"/>
      <c r="CL247" s="4"/>
      <c r="CM247" s="4"/>
      <c r="CN247" s="4"/>
      <c r="CO247" s="4"/>
      <c r="CP247" s="4"/>
      <c r="CQ247" s="4"/>
      <c r="CR247" s="4"/>
      <c r="CS247" s="4"/>
      <c r="CT247" s="4"/>
      <c r="CU247" s="4"/>
      <c r="CV247" s="4"/>
      <c r="CW247" s="4"/>
      <c r="CX247" s="4"/>
      <c r="CY247" s="4"/>
      <c r="CZ247" s="4"/>
      <c r="DA247" s="4"/>
      <c r="DB247" s="4"/>
      <c r="DC247" s="4"/>
      <c r="DD247" s="4"/>
      <c r="DE247" s="4"/>
      <c r="DF247" s="4"/>
      <c r="DG247" s="4"/>
      <c r="DH247" s="4"/>
      <c r="DI247" s="4"/>
      <c r="DJ247" s="4"/>
      <c r="DK247" s="4"/>
      <c r="DL247" s="4"/>
      <c r="DM247" s="4"/>
      <c r="DN247" s="4"/>
      <c r="DO247" s="4"/>
      <c r="DP247" s="4"/>
      <c r="DQ247" s="4"/>
      <c r="DR247" s="4"/>
      <c r="DS247" s="4"/>
      <c r="DT247" s="4"/>
      <c r="DU247" s="4"/>
      <c r="DV247" s="4"/>
      <c r="DW247" s="4"/>
      <c r="DX247" s="4"/>
      <c r="DY247" s="4"/>
      <c r="DZ247" s="4"/>
      <c r="EA247" s="4"/>
      <c r="EB247" s="4"/>
      <c r="EC247" s="4"/>
      <c r="ED247" s="4"/>
    </row>
    <row r="248" spans="2:134" ht="30" customHeight="1" thickBot="1" x14ac:dyDescent="0.35">
      <c r="B248" s="57" t="s">
        <v>174</v>
      </c>
      <c r="C248" s="54" t="s">
        <v>38</v>
      </c>
      <c r="D248" s="55"/>
      <c r="E248" s="56"/>
      <c r="F248" s="56"/>
      <c r="G248" s="29"/>
      <c r="H248" s="29" t="str">
        <f t="shared" si="76"/>
        <v/>
      </c>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c r="CJ248" s="4"/>
      <c r="CK248" s="4"/>
      <c r="CL248" s="4"/>
      <c r="CM248" s="4"/>
      <c r="CN248" s="4"/>
      <c r="CO248" s="4"/>
      <c r="CP248" s="4"/>
      <c r="CQ248" s="4"/>
      <c r="CR248" s="4"/>
      <c r="CS248" s="4"/>
      <c r="CT248" s="4"/>
      <c r="CU248" s="4"/>
      <c r="CV248" s="4"/>
      <c r="CW248" s="4"/>
      <c r="CX248" s="4"/>
      <c r="CY248" s="4"/>
      <c r="CZ248" s="4"/>
      <c r="DA248" s="4"/>
      <c r="DB248" s="4"/>
      <c r="DC248" s="4"/>
      <c r="DD248" s="4"/>
      <c r="DE248" s="4"/>
      <c r="DF248" s="4"/>
      <c r="DG248" s="4"/>
      <c r="DH248" s="4"/>
      <c r="DI248" s="4"/>
      <c r="DJ248" s="4"/>
      <c r="DK248" s="4"/>
      <c r="DL248" s="4"/>
      <c r="DM248" s="4"/>
      <c r="DN248" s="4"/>
      <c r="DO248" s="4"/>
      <c r="DP248" s="4"/>
      <c r="DQ248" s="4"/>
      <c r="DR248" s="4"/>
      <c r="DS248" s="4"/>
      <c r="DT248" s="4"/>
      <c r="DU248" s="4"/>
      <c r="DV248" s="4"/>
      <c r="DW248" s="4"/>
      <c r="DX248" s="4"/>
      <c r="DY248" s="4"/>
      <c r="DZ248" s="4"/>
      <c r="EA248" s="4"/>
      <c r="EB248" s="4"/>
      <c r="EC248" s="4"/>
      <c r="ED248" s="4"/>
    </row>
    <row r="249" spans="2:134" ht="30" customHeight="1" thickBot="1" x14ac:dyDescent="0.35">
      <c r="B249" s="27" t="s">
        <v>175</v>
      </c>
      <c r="C249" s="12" t="s">
        <v>38</v>
      </c>
      <c r="D249" s="28"/>
      <c r="E249" s="47"/>
      <c r="F249" s="48"/>
      <c r="G249" s="29"/>
      <c r="H249" s="29" t="str">
        <f t="shared" si="76"/>
        <v/>
      </c>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c r="CJ249" s="4"/>
      <c r="CK249" s="4"/>
      <c r="CL249" s="4"/>
      <c r="CM249" s="4"/>
      <c r="CN249" s="4"/>
      <c r="CO249" s="4"/>
      <c r="CP249" s="4"/>
      <c r="CQ249" s="4"/>
      <c r="CR249" s="4"/>
      <c r="CS249" s="4"/>
      <c r="CT249" s="4"/>
      <c r="CU249" s="4"/>
      <c r="CV249" s="4"/>
      <c r="CW249" s="4"/>
      <c r="CX249" s="4"/>
      <c r="CY249" s="4"/>
      <c r="CZ249" s="4"/>
      <c r="DA249" s="4"/>
      <c r="DB249" s="4"/>
      <c r="DC249" s="4"/>
      <c r="DD249" s="4"/>
      <c r="DE249" s="4"/>
      <c r="DF249" s="4"/>
      <c r="DG249" s="4"/>
      <c r="DH249" s="4"/>
      <c r="DI249" s="4"/>
      <c r="DJ249" s="4"/>
      <c r="DK249" s="4"/>
      <c r="DL249" s="4"/>
      <c r="DM249" s="4"/>
      <c r="DN249" s="4"/>
      <c r="DO249" s="4"/>
      <c r="DP249" s="4"/>
      <c r="DQ249" s="4"/>
      <c r="DR249" s="4"/>
      <c r="DS249" s="4"/>
      <c r="DT249" s="4"/>
      <c r="DU249" s="4"/>
      <c r="DV249" s="4"/>
      <c r="DW249" s="4"/>
      <c r="DX249" s="4"/>
      <c r="DY249" s="4"/>
      <c r="DZ249" s="4"/>
      <c r="EA249" s="4"/>
      <c r="EB249" s="4"/>
      <c r="EC249" s="4"/>
      <c r="ED249" s="4"/>
    </row>
    <row r="250" spans="2:134" ht="30" customHeight="1" thickBot="1" x14ac:dyDescent="0.35">
      <c r="B250" s="62" t="s">
        <v>176</v>
      </c>
      <c r="C250" s="13" t="s">
        <v>38</v>
      </c>
      <c r="D250" s="30">
        <v>0</v>
      </c>
      <c r="E250" s="49">
        <f>F247+1</f>
        <v>46409</v>
      </c>
      <c r="F250" s="49">
        <f>E250</f>
        <v>46409</v>
      </c>
      <c r="G250" s="29"/>
      <c r="H250" s="29">
        <f t="shared" si="76"/>
        <v>1</v>
      </c>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c r="DB250" s="4"/>
      <c r="DC250" s="4"/>
      <c r="DD250" s="4"/>
      <c r="DE250" s="4"/>
      <c r="DF250" s="4"/>
      <c r="DG250" s="4"/>
      <c r="DH250" s="4"/>
      <c r="DI250" s="4"/>
      <c r="DJ250" s="4"/>
      <c r="DK250" s="4"/>
      <c r="DL250" s="4"/>
      <c r="DM250" s="4"/>
      <c r="DN250" s="4"/>
      <c r="DO250" s="4"/>
      <c r="DP250" s="4"/>
      <c r="DQ250" s="4"/>
      <c r="DR250" s="4"/>
      <c r="DS250" s="4"/>
      <c r="DT250" s="4"/>
      <c r="DU250" s="4"/>
      <c r="DV250" s="4"/>
      <c r="DW250" s="4"/>
      <c r="DX250" s="4"/>
      <c r="DY250" s="4"/>
      <c r="DZ250" s="4"/>
      <c r="EA250" s="4"/>
      <c r="EB250" s="4"/>
      <c r="EC250" s="4"/>
      <c r="ED250" s="4"/>
    </row>
    <row r="251" spans="2:134" ht="30" customHeight="1" thickBot="1" x14ac:dyDescent="0.35">
      <c r="B251" s="63" t="s">
        <v>203</v>
      </c>
      <c r="C251" s="64" t="s">
        <v>38</v>
      </c>
      <c r="D251" s="65"/>
      <c r="E251" s="66"/>
      <c r="F251" s="66"/>
      <c r="G251" s="29"/>
      <c r="H251" s="29" t="str">
        <f t="shared" si="76"/>
        <v/>
      </c>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c r="CJ251" s="4"/>
      <c r="CK251" s="4"/>
      <c r="CL251" s="4"/>
      <c r="CM251" s="4"/>
      <c r="CN251" s="4"/>
      <c r="CO251" s="4"/>
      <c r="CP251" s="4"/>
      <c r="CQ251" s="4"/>
      <c r="CR251" s="4"/>
      <c r="CS251" s="4"/>
      <c r="CT251" s="4"/>
      <c r="CU251" s="4"/>
      <c r="CV251" s="4"/>
      <c r="CW251" s="4"/>
      <c r="CX251" s="4"/>
      <c r="CY251" s="4"/>
      <c r="CZ251" s="4"/>
      <c r="DA251" s="4"/>
      <c r="DB251" s="4"/>
      <c r="DC251" s="4"/>
      <c r="DD251" s="4"/>
      <c r="DE251" s="4"/>
      <c r="DF251" s="4"/>
      <c r="DG251" s="4"/>
      <c r="DH251" s="4"/>
      <c r="DI251" s="4"/>
      <c r="DJ251" s="4"/>
      <c r="DK251" s="4"/>
      <c r="DL251" s="4"/>
      <c r="DM251" s="4"/>
      <c r="DN251" s="4"/>
      <c r="DO251" s="4"/>
      <c r="DP251" s="4"/>
      <c r="DQ251" s="4"/>
      <c r="DR251" s="4"/>
      <c r="DS251" s="4"/>
      <c r="DT251" s="4"/>
      <c r="DU251" s="4"/>
      <c r="DV251" s="4"/>
      <c r="DW251" s="4"/>
      <c r="DX251" s="4"/>
      <c r="DY251" s="4"/>
      <c r="DZ251" s="4"/>
      <c r="EA251" s="4"/>
      <c r="EB251" s="4"/>
      <c r="EC251" s="4"/>
      <c r="ED251" s="4"/>
    </row>
    <row r="252" spans="2:134" ht="30" customHeight="1" thickBot="1" x14ac:dyDescent="0.35">
      <c r="B252" s="70" t="s">
        <v>204</v>
      </c>
      <c r="C252" s="67" t="s">
        <v>38</v>
      </c>
      <c r="D252" s="68"/>
      <c r="E252" s="69"/>
      <c r="F252" s="69"/>
      <c r="G252" s="29"/>
      <c r="H252" s="29" t="str">
        <f t="shared" si="76"/>
        <v/>
      </c>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c r="CJ252" s="4"/>
      <c r="CK252" s="4"/>
      <c r="CL252" s="4"/>
      <c r="CM252" s="4"/>
      <c r="CN252" s="4"/>
      <c r="CO252" s="4"/>
      <c r="CP252" s="4"/>
      <c r="CQ252" s="4"/>
      <c r="CR252" s="4"/>
      <c r="CS252" s="4"/>
      <c r="CT252" s="4"/>
      <c r="CU252" s="4"/>
      <c r="CV252" s="4"/>
      <c r="CW252" s="4"/>
      <c r="CX252" s="4"/>
      <c r="CY252" s="4"/>
      <c r="CZ252" s="4"/>
      <c r="DA252" s="4"/>
      <c r="DB252" s="4"/>
      <c r="DC252" s="4"/>
      <c r="DD252" s="4"/>
      <c r="DE252" s="4"/>
      <c r="DF252" s="4"/>
      <c r="DG252" s="4"/>
      <c r="DH252" s="4"/>
      <c r="DI252" s="4"/>
      <c r="DJ252" s="4"/>
      <c r="DK252" s="4"/>
      <c r="DL252" s="4"/>
      <c r="DM252" s="4"/>
      <c r="DN252" s="4"/>
      <c r="DO252" s="4"/>
      <c r="DP252" s="4"/>
      <c r="DQ252" s="4"/>
      <c r="DR252" s="4"/>
      <c r="DS252" s="4"/>
      <c r="DT252" s="4"/>
      <c r="DU252" s="4"/>
      <c r="DV252" s="4"/>
      <c r="DW252" s="4"/>
      <c r="DX252" s="4"/>
      <c r="DY252" s="4"/>
      <c r="DZ252" s="4"/>
      <c r="EA252" s="4"/>
      <c r="EB252" s="4"/>
      <c r="EC252" s="4"/>
      <c r="ED252" s="4"/>
    </row>
    <row r="253" spans="2:134" ht="30" customHeight="1" thickBot="1" x14ac:dyDescent="0.35">
      <c r="B253" s="74" t="s">
        <v>205</v>
      </c>
      <c r="C253" s="71" t="s">
        <v>38</v>
      </c>
      <c r="D253" s="72"/>
      <c r="E253" s="73"/>
      <c r="F253" s="73"/>
      <c r="G253" s="29"/>
      <c r="H253" s="29" t="str">
        <f t="shared" si="76"/>
        <v/>
      </c>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c r="CJ253" s="4"/>
      <c r="CK253" s="4"/>
      <c r="CL253" s="4"/>
      <c r="CM253" s="4"/>
      <c r="CN253" s="4"/>
      <c r="CO253" s="4"/>
      <c r="CP253" s="4"/>
      <c r="CQ253" s="4"/>
      <c r="CR253" s="4"/>
      <c r="CS253" s="4"/>
      <c r="CT253" s="4"/>
      <c r="CU253" s="4"/>
      <c r="CV253" s="4"/>
      <c r="CW253" s="4"/>
      <c r="CX253" s="4"/>
      <c r="CY253" s="4"/>
      <c r="CZ253" s="4"/>
      <c r="DA253" s="4"/>
      <c r="DB253" s="4"/>
      <c r="DC253" s="4"/>
      <c r="DD253" s="4"/>
      <c r="DE253" s="4"/>
      <c r="DF253" s="4"/>
      <c r="DG253" s="4"/>
      <c r="DH253" s="4"/>
      <c r="DI253" s="4"/>
      <c r="DJ253" s="4"/>
      <c r="DK253" s="4"/>
      <c r="DL253" s="4"/>
      <c r="DM253" s="4"/>
      <c r="DN253" s="4"/>
      <c r="DO253" s="4"/>
      <c r="DP253" s="4"/>
      <c r="DQ253" s="4"/>
      <c r="DR253" s="4"/>
      <c r="DS253" s="4"/>
      <c r="DT253" s="4"/>
      <c r="DU253" s="4"/>
      <c r="DV253" s="4"/>
      <c r="DW253" s="4"/>
      <c r="DX253" s="4"/>
      <c r="DY253" s="4"/>
      <c r="DZ253" s="4"/>
      <c r="EA253" s="4"/>
      <c r="EB253" s="4"/>
      <c r="EC253" s="4"/>
      <c r="ED253" s="4"/>
    </row>
    <row r="254" spans="2:134" ht="30" customHeight="1" thickBot="1" x14ac:dyDescent="0.35">
      <c r="B254" s="16" t="s">
        <v>206</v>
      </c>
      <c r="C254" s="14" t="s">
        <v>38</v>
      </c>
      <c r="D254" s="31">
        <v>0</v>
      </c>
      <c r="E254" s="50">
        <f>F250</f>
        <v>46409</v>
      </c>
      <c r="F254" s="50">
        <f>E254+3</f>
        <v>46412</v>
      </c>
      <c r="G254" s="29"/>
      <c r="H254" s="29">
        <f t="shared" si="76"/>
        <v>4</v>
      </c>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c r="CJ254" s="4"/>
      <c r="CK254" s="4"/>
      <c r="CL254" s="4"/>
      <c r="CM254" s="4"/>
      <c r="CN254" s="4"/>
      <c r="CO254" s="4"/>
      <c r="CP254" s="4"/>
      <c r="CQ254" s="4"/>
      <c r="CR254" s="4"/>
      <c r="CS254" s="4"/>
      <c r="CT254" s="4"/>
      <c r="CU254" s="4"/>
      <c r="CV254" s="4"/>
      <c r="CW254" s="4"/>
      <c r="CX254" s="4"/>
      <c r="CY254" s="4"/>
      <c r="CZ254" s="4"/>
      <c r="DA254" s="4"/>
      <c r="DB254" s="4"/>
      <c r="DC254" s="4"/>
      <c r="DD254" s="4"/>
      <c r="DE254" s="4"/>
      <c r="DF254" s="4"/>
      <c r="DG254" s="4"/>
      <c r="DH254" s="4"/>
      <c r="DI254" s="4"/>
      <c r="DJ254" s="4"/>
      <c r="DK254" s="4"/>
      <c r="DL254" s="4"/>
      <c r="DM254" s="4"/>
      <c r="DN254" s="4"/>
      <c r="DO254" s="4"/>
      <c r="DP254" s="4"/>
      <c r="DQ254" s="4"/>
      <c r="DR254" s="4"/>
      <c r="DS254" s="4"/>
      <c r="DT254" s="4"/>
      <c r="DU254" s="4"/>
      <c r="DV254" s="4"/>
      <c r="DW254" s="4"/>
      <c r="DX254" s="4"/>
      <c r="DY254" s="4"/>
      <c r="DZ254" s="4"/>
      <c r="EA254" s="4"/>
      <c r="EB254" s="4"/>
      <c r="EC254" s="4"/>
      <c r="ED254" s="4"/>
    </row>
    <row r="255" spans="2:134" ht="30" customHeight="1" thickBot="1" x14ac:dyDescent="0.35">
      <c r="B255" s="16" t="s">
        <v>207</v>
      </c>
      <c r="C255" s="14" t="s">
        <v>38</v>
      </c>
      <c r="D255" s="31">
        <v>0</v>
      </c>
      <c r="E255" s="50">
        <f>F254</f>
        <v>46412</v>
      </c>
      <c r="F255" s="50">
        <f>E255+1</f>
        <v>46413</v>
      </c>
      <c r="G255" s="29"/>
      <c r="H255" s="29">
        <f t="shared" si="76"/>
        <v>2</v>
      </c>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c r="CL255" s="4"/>
      <c r="CM255" s="4"/>
      <c r="CN255" s="4"/>
      <c r="CO255" s="4"/>
      <c r="CP255" s="4"/>
      <c r="CQ255" s="4"/>
      <c r="CR255" s="4"/>
      <c r="CS255" s="4"/>
      <c r="CT255" s="4"/>
      <c r="CU255" s="4"/>
      <c r="CV255" s="4"/>
      <c r="CW255" s="4"/>
      <c r="CX255" s="4"/>
      <c r="CY255" s="4"/>
      <c r="CZ255" s="4"/>
      <c r="DA255" s="4"/>
      <c r="DB255" s="4"/>
      <c r="DC255" s="4"/>
      <c r="DD255" s="4"/>
      <c r="DE255" s="4"/>
      <c r="DF255" s="4"/>
      <c r="DG255" s="4"/>
      <c r="DH255" s="4"/>
      <c r="DI255" s="4"/>
      <c r="DJ255" s="4"/>
      <c r="DK255" s="4"/>
      <c r="DL255" s="4"/>
      <c r="DM255" s="4"/>
      <c r="DN255" s="4"/>
      <c r="DO255" s="4"/>
      <c r="DP255" s="4"/>
      <c r="DQ255" s="4"/>
      <c r="DR255" s="4"/>
      <c r="DS255" s="4"/>
      <c r="DT255" s="4"/>
      <c r="DU255" s="4"/>
      <c r="DV255" s="4"/>
      <c r="DW255" s="4"/>
      <c r="DX255" s="4"/>
      <c r="DY255" s="4"/>
      <c r="DZ255" s="4"/>
      <c r="EA255" s="4"/>
      <c r="EB255" s="4"/>
      <c r="EC255" s="4"/>
      <c r="ED255" s="4"/>
    </row>
    <row r="256" spans="2:134" ht="30" customHeight="1" thickBot="1" x14ac:dyDescent="0.35">
      <c r="B256" s="74" t="s">
        <v>208</v>
      </c>
      <c r="C256" s="71" t="s">
        <v>38</v>
      </c>
      <c r="D256" s="72"/>
      <c r="E256" s="73"/>
      <c r="F256" s="73"/>
      <c r="G256" s="29"/>
      <c r="H256" s="29" t="str">
        <f t="shared" si="76"/>
        <v/>
      </c>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c r="CJ256" s="4"/>
      <c r="CK256" s="4"/>
      <c r="CL256" s="4"/>
      <c r="CM256" s="4"/>
      <c r="CN256" s="4"/>
      <c r="CO256" s="4"/>
      <c r="CP256" s="4"/>
      <c r="CQ256" s="4"/>
      <c r="CR256" s="4"/>
      <c r="CS256" s="4"/>
      <c r="CT256" s="4"/>
      <c r="CU256" s="4"/>
      <c r="CV256" s="4"/>
      <c r="CW256" s="4"/>
      <c r="CX256" s="4"/>
      <c r="CY256" s="4"/>
      <c r="CZ256" s="4"/>
      <c r="DA256" s="4"/>
      <c r="DB256" s="4"/>
      <c r="DC256" s="4"/>
      <c r="DD256" s="4"/>
      <c r="DE256" s="4"/>
      <c r="DF256" s="4"/>
      <c r="DG256" s="4"/>
      <c r="DH256" s="4"/>
      <c r="DI256" s="4"/>
      <c r="DJ256" s="4"/>
      <c r="DK256" s="4"/>
      <c r="DL256" s="4"/>
      <c r="DM256" s="4"/>
      <c r="DN256" s="4"/>
      <c r="DO256" s="4"/>
      <c r="DP256" s="4"/>
      <c r="DQ256" s="4"/>
      <c r="DR256" s="4"/>
      <c r="DS256" s="4"/>
      <c r="DT256" s="4"/>
      <c r="DU256" s="4"/>
      <c r="DV256" s="4"/>
      <c r="DW256" s="4"/>
      <c r="DX256" s="4"/>
      <c r="DY256" s="4"/>
      <c r="DZ256" s="4"/>
      <c r="EA256" s="4"/>
      <c r="EB256" s="4"/>
      <c r="EC256" s="4"/>
      <c r="ED256" s="4"/>
    </row>
    <row r="257" spans="2:134" ht="30" customHeight="1" thickBot="1" x14ac:dyDescent="0.35">
      <c r="B257" s="75" t="s">
        <v>209</v>
      </c>
      <c r="C257" s="14" t="s">
        <v>38</v>
      </c>
      <c r="D257" s="31">
        <v>0</v>
      </c>
      <c r="E257" s="50">
        <f>F255</f>
        <v>46413</v>
      </c>
      <c r="F257" s="50">
        <f>E257+1</f>
        <v>46414</v>
      </c>
      <c r="G257" s="29"/>
      <c r="H257" s="29">
        <f t="shared" si="76"/>
        <v>2</v>
      </c>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c r="CJ257" s="4"/>
      <c r="CK257" s="4"/>
      <c r="CL257" s="4"/>
      <c r="CM257" s="4"/>
      <c r="CN257" s="4"/>
      <c r="CO257" s="4"/>
      <c r="CP257" s="4"/>
      <c r="CQ257" s="4"/>
      <c r="CR257" s="4"/>
      <c r="CS257" s="4"/>
      <c r="CT257" s="4"/>
      <c r="CU257" s="4"/>
      <c r="CV257" s="4"/>
      <c r="CW257" s="4"/>
      <c r="CX257" s="4"/>
      <c r="CY257" s="4"/>
      <c r="CZ257" s="4"/>
      <c r="DA257" s="4"/>
      <c r="DB257" s="4"/>
      <c r="DC257" s="4"/>
      <c r="DD257" s="4"/>
      <c r="DE257" s="4"/>
      <c r="DF257" s="4"/>
      <c r="DG257" s="4"/>
      <c r="DH257" s="4"/>
      <c r="DI257" s="4"/>
      <c r="DJ257" s="4"/>
      <c r="DK257" s="4"/>
      <c r="DL257" s="4"/>
      <c r="DM257" s="4"/>
      <c r="DN257" s="4"/>
      <c r="DO257" s="4"/>
      <c r="DP257" s="4"/>
      <c r="DQ257" s="4"/>
      <c r="DR257" s="4"/>
      <c r="DS257" s="4"/>
      <c r="DT257" s="4"/>
      <c r="DU257" s="4"/>
      <c r="DV257" s="4"/>
      <c r="DW257" s="4"/>
      <c r="DX257" s="4"/>
      <c r="DY257" s="4"/>
      <c r="DZ257" s="4"/>
      <c r="EA257" s="4"/>
      <c r="EB257" s="4"/>
      <c r="EC257" s="4"/>
      <c r="ED257" s="4"/>
    </row>
    <row r="258" spans="2:134" ht="30" customHeight="1" thickBot="1" x14ac:dyDescent="0.35">
      <c r="B258" s="79" t="s">
        <v>207</v>
      </c>
      <c r="C258" s="14" t="s">
        <v>38</v>
      </c>
      <c r="D258" s="31">
        <v>0</v>
      </c>
      <c r="E258" s="50">
        <f>E257+1</f>
        <v>46414</v>
      </c>
      <c r="F258" s="50">
        <f>E258+1</f>
        <v>46415</v>
      </c>
      <c r="G258" s="29"/>
      <c r="H258" s="29">
        <f t="shared" si="76"/>
        <v>2</v>
      </c>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c r="CJ258" s="4"/>
      <c r="CK258" s="4"/>
      <c r="CL258" s="4"/>
      <c r="CM258" s="4"/>
      <c r="CN258" s="4"/>
      <c r="CO258" s="4"/>
      <c r="CP258" s="4"/>
      <c r="CQ258" s="4"/>
      <c r="CR258" s="4"/>
      <c r="CS258" s="4"/>
      <c r="CT258" s="4"/>
      <c r="CU258" s="4"/>
      <c r="CV258" s="4"/>
      <c r="CW258" s="4"/>
      <c r="CX258" s="4"/>
      <c r="CY258" s="4"/>
      <c r="CZ258" s="4"/>
      <c r="DA258" s="4"/>
      <c r="DB258" s="4"/>
      <c r="DC258" s="4"/>
      <c r="DD258" s="4"/>
      <c r="DE258" s="4"/>
      <c r="DF258" s="4"/>
      <c r="DG258" s="4"/>
      <c r="DH258" s="4"/>
      <c r="DI258" s="4"/>
      <c r="DJ258" s="4"/>
      <c r="DK258" s="4"/>
      <c r="DL258" s="4"/>
      <c r="DM258" s="4"/>
      <c r="DN258" s="4"/>
      <c r="DO258" s="4"/>
      <c r="DP258" s="4"/>
      <c r="DQ258" s="4"/>
      <c r="DR258" s="4"/>
      <c r="DS258" s="4"/>
      <c r="DT258" s="4"/>
      <c r="DU258" s="4"/>
      <c r="DV258" s="4"/>
      <c r="DW258" s="4"/>
      <c r="DX258" s="4"/>
      <c r="DY258" s="4"/>
      <c r="DZ258" s="4"/>
      <c r="EA258" s="4"/>
      <c r="EB258" s="4"/>
      <c r="EC258" s="4"/>
      <c r="ED258" s="4"/>
    </row>
    <row r="259" spans="2:134" ht="30" customHeight="1" thickBot="1" x14ac:dyDescent="0.35">
      <c r="B259" s="74" t="s">
        <v>210</v>
      </c>
      <c r="C259" s="71" t="s">
        <v>38</v>
      </c>
      <c r="D259" s="72"/>
      <c r="E259" s="73"/>
      <c r="F259" s="73"/>
      <c r="G259" s="29"/>
      <c r="H259" s="29" t="str">
        <f t="shared" si="76"/>
        <v/>
      </c>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c r="CJ259" s="4"/>
      <c r="CK259" s="4"/>
      <c r="CL259" s="4"/>
      <c r="CM259" s="4"/>
      <c r="CN259" s="4"/>
      <c r="CO259" s="4"/>
      <c r="CP259" s="4"/>
      <c r="CQ259" s="4"/>
      <c r="CR259" s="4"/>
      <c r="CS259" s="4"/>
      <c r="CT259" s="4"/>
      <c r="CU259" s="4"/>
      <c r="CV259" s="4"/>
      <c r="CW259" s="4"/>
      <c r="CX259" s="4"/>
      <c r="CY259" s="4"/>
      <c r="CZ259" s="4"/>
      <c r="DA259" s="4"/>
      <c r="DB259" s="4"/>
      <c r="DC259" s="4"/>
      <c r="DD259" s="4"/>
      <c r="DE259" s="4"/>
      <c r="DF259" s="4"/>
      <c r="DG259" s="4"/>
      <c r="DH259" s="4"/>
      <c r="DI259" s="4"/>
      <c r="DJ259" s="4"/>
      <c r="DK259" s="4"/>
      <c r="DL259" s="4"/>
      <c r="DM259" s="4"/>
      <c r="DN259" s="4"/>
      <c r="DO259" s="4"/>
      <c r="DP259" s="4"/>
      <c r="DQ259" s="4"/>
      <c r="DR259" s="4"/>
      <c r="DS259" s="4"/>
      <c r="DT259" s="4"/>
      <c r="DU259" s="4"/>
      <c r="DV259" s="4"/>
      <c r="DW259" s="4"/>
      <c r="DX259" s="4"/>
      <c r="DY259" s="4"/>
      <c r="DZ259" s="4"/>
      <c r="EA259" s="4"/>
      <c r="EB259" s="4"/>
      <c r="EC259" s="4"/>
      <c r="ED259" s="4"/>
    </row>
    <row r="260" spans="2:134" ht="30" customHeight="1" thickBot="1" x14ac:dyDescent="0.35">
      <c r="B260" s="75" t="s">
        <v>211</v>
      </c>
      <c r="C260" s="14" t="s">
        <v>38</v>
      </c>
      <c r="D260" s="31">
        <v>0</v>
      </c>
      <c r="E260" s="50">
        <f>F258</f>
        <v>46415</v>
      </c>
      <c r="F260" s="50">
        <f>E260+1</f>
        <v>46416</v>
      </c>
      <c r="G260" s="29"/>
      <c r="H260" s="29">
        <f t="shared" si="76"/>
        <v>2</v>
      </c>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c r="CJ260" s="4"/>
      <c r="CK260" s="4"/>
      <c r="CL260" s="4"/>
      <c r="CM260" s="4"/>
      <c r="CN260" s="4"/>
      <c r="CO260" s="4"/>
      <c r="CP260" s="4"/>
      <c r="CQ260" s="4"/>
      <c r="CR260" s="4"/>
      <c r="CS260" s="4"/>
      <c r="CT260" s="4"/>
      <c r="CU260" s="4"/>
      <c r="CV260" s="4"/>
      <c r="CW260" s="4"/>
      <c r="CX260" s="4"/>
      <c r="CY260" s="4"/>
      <c r="CZ260" s="4"/>
      <c r="DA260" s="4"/>
      <c r="DB260" s="4"/>
      <c r="DC260" s="4"/>
      <c r="DD260" s="4"/>
      <c r="DE260" s="4"/>
      <c r="DF260" s="4"/>
      <c r="DG260" s="4"/>
      <c r="DH260" s="4"/>
      <c r="DI260" s="4"/>
      <c r="DJ260" s="4"/>
      <c r="DK260" s="4"/>
      <c r="DL260" s="4"/>
      <c r="DM260" s="4"/>
      <c r="DN260" s="4"/>
      <c r="DO260" s="4"/>
      <c r="DP260" s="4"/>
      <c r="DQ260" s="4"/>
      <c r="DR260" s="4"/>
      <c r="DS260" s="4"/>
      <c r="DT260" s="4"/>
      <c r="DU260" s="4"/>
      <c r="DV260" s="4"/>
      <c r="DW260" s="4"/>
      <c r="DX260" s="4"/>
      <c r="DY260" s="4"/>
      <c r="DZ260" s="4"/>
      <c r="EA260" s="4"/>
      <c r="EB260" s="4"/>
      <c r="EC260" s="4"/>
      <c r="ED260" s="4"/>
    </row>
    <row r="261" spans="2:134" ht="30" customHeight="1" thickBot="1" x14ac:dyDescent="0.35">
      <c r="B261" s="79" t="s">
        <v>207</v>
      </c>
      <c r="C261" s="14" t="s">
        <v>38</v>
      </c>
      <c r="D261" s="31">
        <v>0</v>
      </c>
      <c r="E261" s="50">
        <f>F260</f>
        <v>46416</v>
      </c>
      <c r="F261" s="50">
        <f>E261+1</f>
        <v>46417</v>
      </c>
      <c r="G261" s="29"/>
      <c r="H261" s="29">
        <f t="shared" si="76"/>
        <v>2</v>
      </c>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c r="CK261" s="4"/>
      <c r="CL261" s="4"/>
      <c r="CM261" s="4"/>
      <c r="CN261" s="4"/>
      <c r="CO261" s="4"/>
      <c r="CP261" s="4"/>
      <c r="CQ261" s="4"/>
      <c r="CR261" s="4"/>
      <c r="CS261" s="4"/>
      <c r="CT261" s="4"/>
      <c r="CU261" s="4"/>
      <c r="CV261" s="4"/>
      <c r="CW261" s="4"/>
      <c r="CX261" s="4"/>
      <c r="CY261" s="4"/>
      <c r="CZ261" s="4"/>
      <c r="DA261" s="4"/>
      <c r="DB261" s="4"/>
      <c r="DC261" s="4"/>
      <c r="DD261" s="4"/>
      <c r="DE261" s="4"/>
      <c r="DF261" s="4"/>
      <c r="DG261" s="4"/>
      <c r="DH261" s="4"/>
      <c r="DI261" s="4"/>
      <c r="DJ261" s="4"/>
      <c r="DK261" s="4"/>
      <c r="DL261" s="4"/>
      <c r="DM261" s="4"/>
      <c r="DN261" s="4"/>
      <c r="DO261" s="4"/>
      <c r="DP261" s="4"/>
      <c r="DQ261" s="4"/>
      <c r="DR261" s="4"/>
      <c r="DS261" s="4"/>
      <c r="DT261" s="4"/>
      <c r="DU261" s="4"/>
      <c r="DV261" s="4"/>
      <c r="DW261" s="4"/>
      <c r="DX261" s="4"/>
      <c r="DY261" s="4"/>
      <c r="DZ261" s="4"/>
      <c r="EA261" s="4"/>
      <c r="EB261" s="4"/>
      <c r="EC261" s="4"/>
      <c r="ED261" s="4"/>
    </row>
    <row r="262" spans="2:134" ht="30" customHeight="1" thickBot="1" x14ac:dyDescent="0.35">
      <c r="B262" s="70" t="s">
        <v>212</v>
      </c>
      <c r="C262" s="67" t="s">
        <v>38</v>
      </c>
      <c r="D262" s="68"/>
      <c r="E262" s="69"/>
      <c r="F262" s="69"/>
      <c r="G262" s="29"/>
      <c r="H262" s="29" t="str">
        <f t="shared" si="76"/>
        <v/>
      </c>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c r="CJ262" s="4"/>
      <c r="CK262" s="4"/>
      <c r="CL262" s="4"/>
      <c r="CM262" s="4"/>
      <c r="CN262" s="4"/>
      <c r="CO262" s="4"/>
      <c r="CP262" s="4"/>
      <c r="CQ262" s="4"/>
      <c r="CR262" s="4"/>
      <c r="CS262" s="4"/>
      <c r="CT262" s="4"/>
      <c r="CU262" s="4"/>
      <c r="CV262" s="4"/>
      <c r="CW262" s="4"/>
      <c r="CX262" s="4"/>
      <c r="CY262" s="4"/>
      <c r="CZ262" s="4"/>
      <c r="DA262" s="4"/>
      <c r="DB262" s="4"/>
      <c r="DC262" s="4"/>
      <c r="DD262" s="4"/>
      <c r="DE262" s="4"/>
      <c r="DF262" s="4"/>
      <c r="DG262" s="4"/>
      <c r="DH262" s="4"/>
      <c r="DI262" s="4"/>
      <c r="DJ262" s="4"/>
      <c r="DK262" s="4"/>
      <c r="DL262" s="4"/>
      <c r="DM262" s="4"/>
      <c r="DN262" s="4"/>
      <c r="DO262" s="4"/>
      <c r="DP262" s="4"/>
      <c r="DQ262" s="4"/>
      <c r="DR262" s="4"/>
      <c r="DS262" s="4"/>
      <c r="DT262" s="4"/>
      <c r="DU262" s="4"/>
      <c r="DV262" s="4"/>
      <c r="DW262" s="4"/>
      <c r="DX262" s="4"/>
      <c r="DY262" s="4"/>
      <c r="DZ262" s="4"/>
      <c r="EA262" s="4"/>
      <c r="EB262" s="4"/>
      <c r="EC262" s="4"/>
      <c r="ED262" s="4"/>
    </row>
    <row r="263" spans="2:134" ht="30" customHeight="1" thickBot="1" x14ac:dyDescent="0.35">
      <c r="B263" s="76" t="s">
        <v>213</v>
      </c>
      <c r="C263" s="71" t="s">
        <v>38</v>
      </c>
      <c r="D263" s="72"/>
      <c r="E263" s="73"/>
      <c r="F263" s="73"/>
      <c r="G263" s="29"/>
      <c r="H263" s="29" t="str">
        <f t="shared" si="76"/>
        <v/>
      </c>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c r="CJ263" s="4"/>
      <c r="CK263" s="4"/>
      <c r="CL263" s="4"/>
      <c r="CM263" s="4"/>
      <c r="CN263" s="4"/>
      <c r="CO263" s="4"/>
      <c r="CP263" s="4"/>
      <c r="CQ263" s="4"/>
      <c r="CR263" s="4"/>
      <c r="CS263" s="4"/>
      <c r="CT263" s="4"/>
      <c r="CU263" s="4"/>
      <c r="CV263" s="4"/>
      <c r="CW263" s="4"/>
      <c r="CX263" s="4"/>
      <c r="CY263" s="4"/>
      <c r="CZ263" s="4"/>
      <c r="DA263" s="4"/>
      <c r="DB263" s="4"/>
      <c r="DC263" s="4"/>
      <c r="DD263" s="4"/>
      <c r="DE263" s="4"/>
      <c r="DF263" s="4"/>
      <c r="DG263" s="4"/>
      <c r="DH263" s="4"/>
      <c r="DI263" s="4"/>
      <c r="DJ263" s="4"/>
      <c r="DK263" s="4"/>
      <c r="DL263" s="4"/>
      <c r="DM263" s="4"/>
      <c r="DN263" s="4"/>
      <c r="DO263" s="4"/>
      <c r="DP263" s="4"/>
      <c r="DQ263" s="4"/>
      <c r="DR263" s="4"/>
      <c r="DS263" s="4"/>
      <c r="DT263" s="4"/>
      <c r="DU263" s="4"/>
      <c r="DV263" s="4"/>
      <c r="DW263" s="4"/>
      <c r="DX263" s="4"/>
      <c r="DY263" s="4"/>
      <c r="DZ263" s="4"/>
      <c r="EA263" s="4"/>
      <c r="EB263" s="4"/>
      <c r="EC263" s="4"/>
      <c r="ED263" s="4"/>
    </row>
    <row r="264" spans="2:134" ht="30" customHeight="1" thickBot="1" x14ac:dyDescent="0.35">
      <c r="B264" s="75" t="s">
        <v>214</v>
      </c>
      <c r="C264" s="14" t="s">
        <v>38</v>
      </c>
      <c r="D264" s="31">
        <v>0</v>
      </c>
      <c r="E264" s="50">
        <f>F261</f>
        <v>46417</v>
      </c>
      <c r="F264" s="50">
        <f>E264</f>
        <v>46417</v>
      </c>
      <c r="G264" s="29"/>
      <c r="H264" s="29">
        <f t="shared" si="76"/>
        <v>1</v>
      </c>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c r="CJ264" s="4"/>
      <c r="CK264" s="4"/>
      <c r="CL264" s="4"/>
      <c r="CM264" s="4"/>
      <c r="CN264" s="4"/>
      <c r="CO264" s="4"/>
      <c r="CP264" s="4"/>
      <c r="CQ264" s="4"/>
      <c r="CR264" s="4"/>
      <c r="CS264" s="4"/>
      <c r="CT264" s="4"/>
      <c r="CU264" s="4"/>
      <c r="CV264" s="4"/>
      <c r="CW264" s="4"/>
      <c r="CX264" s="4"/>
      <c r="CY264" s="4"/>
      <c r="CZ264" s="4"/>
      <c r="DA264" s="4"/>
      <c r="DB264" s="4"/>
      <c r="DC264" s="4"/>
      <c r="DD264" s="4"/>
      <c r="DE264" s="4"/>
      <c r="DF264" s="4"/>
      <c r="DG264" s="4"/>
      <c r="DH264" s="4"/>
      <c r="DI264" s="4"/>
      <c r="DJ264" s="4"/>
      <c r="DK264" s="4"/>
      <c r="DL264" s="4"/>
      <c r="DM264" s="4"/>
      <c r="DN264" s="4"/>
      <c r="DO264" s="4"/>
      <c r="DP264" s="4"/>
      <c r="DQ264" s="4"/>
      <c r="DR264" s="4"/>
      <c r="DS264" s="4"/>
      <c r="DT264" s="4"/>
      <c r="DU264" s="4"/>
      <c r="DV264" s="4"/>
      <c r="DW264" s="4"/>
      <c r="DX264" s="4"/>
      <c r="DY264" s="4"/>
      <c r="DZ264" s="4"/>
      <c r="EA264" s="4"/>
      <c r="EB264" s="4"/>
      <c r="EC264" s="4"/>
      <c r="ED264" s="4"/>
    </row>
    <row r="265" spans="2:134" ht="30" customHeight="1" thickBot="1" x14ac:dyDescent="0.35">
      <c r="B265" s="74" t="s">
        <v>215</v>
      </c>
      <c r="C265" s="71" t="s">
        <v>38</v>
      </c>
      <c r="D265" s="72"/>
      <c r="E265" s="73"/>
      <c r="F265" s="73"/>
      <c r="G265" s="29"/>
      <c r="H265" s="29" t="str">
        <f t="shared" si="76"/>
        <v/>
      </c>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c r="CJ265" s="4"/>
      <c r="CK265" s="4"/>
      <c r="CL265" s="4"/>
      <c r="CM265" s="4"/>
      <c r="CN265" s="4"/>
      <c r="CO265" s="4"/>
      <c r="CP265" s="4"/>
      <c r="CQ265" s="4"/>
      <c r="CR265" s="4"/>
      <c r="CS265" s="4"/>
      <c r="CT265" s="4"/>
      <c r="CU265" s="4"/>
      <c r="CV265" s="4"/>
      <c r="CW265" s="4"/>
      <c r="CX265" s="4"/>
      <c r="CY265" s="4"/>
      <c r="CZ265" s="4"/>
      <c r="DA265" s="4"/>
      <c r="DB265" s="4"/>
      <c r="DC265" s="4"/>
      <c r="DD265" s="4"/>
      <c r="DE265" s="4"/>
      <c r="DF265" s="4"/>
      <c r="DG265" s="4"/>
      <c r="DH265" s="4"/>
      <c r="DI265" s="4"/>
      <c r="DJ265" s="4"/>
      <c r="DK265" s="4"/>
      <c r="DL265" s="4"/>
      <c r="DM265" s="4"/>
      <c r="DN265" s="4"/>
      <c r="DO265" s="4"/>
      <c r="DP265" s="4"/>
      <c r="DQ265" s="4"/>
      <c r="DR265" s="4"/>
      <c r="DS265" s="4"/>
      <c r="DT265" s="4"/>
      <c r="DU265" s="4"/>
      <c r="DV265" s="4"/>
      <c r="DW265" s="4"/>
      <c r="DX265" s="4"/>
      <c r="DY265" s="4"/>
      <c r="DZ265" s="4"/>
      <c r="EA265" s="4"/>
      <c r="EB265" s="4"/>
      <c r="EC265" s="4"/>
      <c r="ED265" s="4"/>
    </row>
    <row r="266" spans="2:134" ht="30" customHeight="1" thickBot="1" x14ac:dyDescent="0.35">
      <c r="B266" s="75" t="s">
        <v>216</v>
      </c>
      <c r="C266" s="14" t="s">
        <v>38</v>
      </c>
      <c r="D266" s="31">
        <v>0</v>
      </c>
      <c r="E266" s="50">
        <f>F264</f>
        <v>46417</v>
      </c>
      <c r="F266" s="50">
        <f>E266+1</f>
        <v>46418</v>
      </c>
      <c r="G266" s="29"/>
      <c r="H266" s="29">
        <f t="shared" si="76"/>
        <v>2</v>
      </c>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c r="CJ266" s="4"/>
      <c r="CK266" s="4"/>
      <c r="CL266" s="4"/>
      <c r="CM266" s="4"/>
      <c r="CN266" s="4"/>
      <c r="CO266" s="4"/>
      <c r="CP266" s="4"/>
      <c r="CQ266" s="4"/>
      <c r="CR266" s="4"/>
      <c r="CS266" s="4"/>
      <c r="CT266" s="4"/>
      <c r="CU266" s="4"/>
      <c r="CV266" s="4"/>
      <c r="CW266" s="4"/>
      <c r="CX266" s="4"/>
      <c r="CY266" s="4"/>
      <c r="CZ266" s="4"/>
      <c r="DA266" s="4"/>
      <c r="DB266" s="4"/>
      <c r="DC266" s="4"/>
      <c r="DD266" s="4"/>
      <c r="DE266" s="4"/>
      <c r="DF266" s="4"/>
      <c r="DG266" s="4"/>
      <c r="DH266" s="4"/>
      <c r="DI266" s="4"/>
      <c r="DJ266" s="4"/>
      <c r="DK266" s="4"/>
      <c r="DL266" s="4"/>
      <c r="DM266" s="4"/>
      <c r="DN266" s="4"/>
      <c r="DO266" s="4"/>
      <c r="DP266" s="4"/>
      <c r="DQ266" s="4"/>
      <c r="DR266" s="4"/>
      <c r="DS266" s="4"/>
      <c r="DT266" s="4"/>
      <c r="DU266" s="4"/>
      <c r="DV266" s="4"/>
      <c r="DW266" s="4"/>
      <c r="DX266" s="4"/>
      <c r="DY266" s="4"/>
      <c r="DZ266" s="4"/>
      <c r="EA266" s="4"/>
      <c r="EB266" s="4"/>
      <c r="EC266" s="4"/>
      <c r="ED266" s="4"/>
    </row>
    <row r="267" spans="2:134" ht="30" customHeight="1" thickBot="1" x14ac:dyDescent="0.35">
      <c r="B267" s="76" t="s">
        <v>59</v>
      </c>
      <c r="C267" s="71" t="s">
        <v>38</v>
      </c>
      <c r="D267" s="72"/>
      <c r="E267" s="73"/>
      <c r="F267" s="73"/>
      <c r="G267" s="29"/>
      <c r="H267" s="29" t="str">
        <f t="shared" si="76"/>
        <v/>
      </c>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c r="CJ267" s="4"/>
      <c r="CK267" s="4"/>
      <c r="CL267" s="4"/>
      <c r="CM267" s="4"/>
      <c r="CN267" s="4"/>
      <c r="CO267" s="4"/>
      <c r="CP267" s="4"/>
      <c r="CQ267" s="4"/>
      <c r="CR267" s="4"/>
      <c r="CS267" s="4"/>
      <c r="CT267" s="4"/>
      <c r="CU267" s="4"/>
      <c r="CV267" s="4"/>
      <c r="CW267" s="4"/>
      <c r="CX267" s="4"/>
      <c r="CY267" s="4"/>
      <c r="CZ267" s="4"/>
      <c r="DA267" s="4"/>
      <c r="DB267" s="4"/>
      <c r="DC267" s="4"/>
      <c r="DD267" s="4"/>
      <c r="DE267" s="4"/>
      <c r="DF267" s="4"/>
      <c r="DG267" s="4"/>
      <c r="DH267" s="4"/>
      <c r="DI267" s="4"/>
      <c r="DJ267" s="4"/>
      <c r="DK267" s="4"/>
      <c r="DL267" s="4"/>
      <c r="DM267" s="4"/>
      <c r="DN267" s="4"/>
      <c r="DO267" s="4"/>
      <c r="DP267" s="4"/>
      <c r="DQ267" s="4"/>
      <c r="DR267" s="4"/>
      <c r="DS267" s="4"/>
      <c r="DT267" s="4"/>
      <c r="DU267" s="4"/>
      <c r="DV267" s="4"/>
      <c r="DW267" s="4"/>
      <c r="DX267" s="4"/>
      <c r="DY267" s="4"/>
      <c r="DZ267" s="4"/>
      <c r="EA267" s="4"/>
      <c r="EB267" s="4"/>
      <c r="EC267" s="4"/>
      <c r="ED267" s="4"/>
    </row>
    <row r="268" spans="2:134" ht="30" customHeight="1" thickBot="1" x14ac:dyDescent="0.35">
      <c r="B268" s="75" t="s">
        <v>217</v>
      </c>
      <c r="C268" s="14" t="s">
        <v>38</v>
      </c>
      <c r="D268" s="31">
        <v>0</v>
      </c>
      <c r="E268" s="50">
        <f>F266</f>
        <v>46418</v>
      </c>
      <c r="F268" s="50">
        <f>E268+1</f>
        <v>46419</v>
      </c>
      <c r="G268" s="29"/>
      <c r="H268" s="29">
        <f t="shared" si="76"/>
        <v>2</v>
      </c>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c r="CJ268" s="4"/>
      <c r="CK268" s="4"/>
      <c r="CL268" s="4"/>
      <c r="CM268" s="4"/>
      <c r="CN268" s="4"/>
      <c r="CO268" s="4"/>
      <c r="CP268" s="4"/>
      <c r="CQ268" s="4"/>
      <c r="CR268" s="4"/>
      <c r="CS268" s="4"/>
      <c r="CT268" s="4"/>
      <c r="CU268" s="4"/>
      <c r="CV268" s="4"/>
      <c r="CW268" s="4"/>
      <c r="CX268" s="4"/>
      <c r="CY268" s="4"/>
      <c r="CZ268" s="4"/>
      <c r="DA268" s="4"/>
      <c r="DB268" s="4"/>
      <c r="DC268" s="4"/>
      <c r="DD268" s="4"/>
      <c r="DE268" s="4"/>
      <c r="DF268" s="4"/>
      <c r="DG268" s="4"/>
      <c r="DH268" s="4"/>
      <c r="DI268" s="4"/>
      <c r="DJ268" s="4"/>
      <c r="DK268" s="4"/>
      <c r="DL268" s="4"/>
      <c r="DM268" s="4"/>
      <c r="DN268" s="4"/>
      <c r="DO268" s="4"/>
      <c r="DP268" s="4"/>
      <c r="DQ268" s="4"/>
      <c r="DR268" s="4"/>
      <c r="DS268" s="4"/>
      <c r="DT268" s="4"/>
      <c r="DU268" s="4"/>
      <c r="DV268" s="4"/>
      <c r="DW268" s="4"/>
      <c r="DX268" s="4"/>
      <c r="DY268" s="4"/>
      <c r="DZ268" s="4"/>
      <c r="EA268" s="4"/>
      <c r="EB268" s="4"/>
      <c r="EC268" s="4"/>
      <c r="ED268" s="4"/>
    </row>
    <row r="269" spans="2:134" ht="30" customHeight="1" thickBot="1" x14ac:dyDescent="0.35">
      <c r="B269" s="75" t="s">
        <v>220</v>
      </c>
      <c r="C269" s="14" t="s">
        <v>38</v>
      </c>
      <c r="D269" s="31">
        <v>0</v>
      </c>
      <c r="E269" s="50">
        <f>F268</f>
        <v>46419</v>
      </c>
      <c r="F269" s="50">
        <f>E269</f>
        <v>46419</v>
      </c>
      <c r="G269" s="29"/>
      <c r="H269" s="29">
        <f t="shared" si="76"/>
        <v>1</v>
      </c>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4"/>
      <c r="CK269" s="4"/>
      <c r="CL269" s="4"/>
      <c r="CM269" s="4"/>
      <c r="CN269" s="4"/>
      <c r="CO269" s="4"/>
      <c r="CP269" s="4"/>
      <c r="CQ269" s="4"/>
      <c r="CR269" s="4"/>
      <c r="CS269" s="4"/>
      <c r="CT269" s="4"/>
      <c r="CU269" s="4"/>
      <c r="CV269" s="4"/>
      <c r="CW269" s="4"/>
      <c r="CX269" s="4"/>
      <c r="CY269" s="4"/>
      <c r="CZ269" s="4"/>
      <c r="DA269" s="4"/>
      <c r="DB269" s="4"/>
      <c r="DC269" s="4"/>
      <c r="DD269" s="4"/>
      <c r="DE269" s="4"/>
      <c r="DF269" s="4"/>
      <c r="DG269" s="4"/>
      <c r="DH269" s="4"/>
      <c r="DI269" s="4"/>
      <c r="DJ269" s="4"/>
      <c r="DK269" s="4"/>
      <c r="DL269" s="4"/>
      <c r="DM269" s="4"/>
      <c r="DN269" s="4"/>
      <c r="DO269" s="4"/>
      <c r="DP269" s="4"/>
      <c r="DQ269" s="4"/>
      <c r="DR269" s="4"/>
      <c r="DS269" s="4"/>
      <c r="DT269" s="4"/>
      <c r="DU269" s="4"/>
      <c r="DV269" s="4"/>
      <c r="DW269" s="4"/>
      <c r="DX269" s="4"/>
      <c r="DY269" s="4"/>
      <c r="DZ269" s="4"/>
      <c r="EA269" s="4"/>
      <c r="EB269" s="4"/>
      <c r="EC269" s="4"/>
      <c r="ED269" s="4"/>
    </row>
    <row r="270" spans="2:134" ht="30" customHeight="1" thickBot="1" x14ac:dyDescent="0.35">
      <c r="B270" s="74" t="s">
        <v>218</v>
      </c>
      <c r="C270" s="71" t="s">
        <v>38</v>
      </c>
      <c r="D270" s="72"/>
      <c r="E270" s="73"/>
      <c r="F270" s="73"/>
      <c r="G270" s="29"/>
      <c r="H270" s="29" t="str">
        <f t="shared" si="76"/>
        <v/>
      </c>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c r="CJ270" s="4"/>
      <c r="CK270" s="4"/>
      <c r="CL270" s="4"/>
      <c r="CM270" s="4"/>
      <c r="CN270" s="4"/>
      <c r="CO270" s="4"/>
      <c r="CP270" s="4"/>
      <c r="CQ270" s="4"/>
      <c r="CR270" s="4"/>
      <c r="CS270" s="4"/>
      <c r="CT270" s="4"/>
      <c r="CU270" s="4"/>
      <c r="CV270" s="4"/>
      <c r="CW270" s="4"/>
      <c r="CX270" s="4"/>
      <c r="CY270" s="4"/>
      <c r="CZ270" s="4"/>
      <c r="DA270" s="4"/>
      <c r="DB270" s="4"/>
      <c r="DC270" s="4"/>
      <c r="DD270" s="4"/>
      <c r="DE270" s="4"/>
      <c r="DF270" s="4"/>
      <c r="DG270" s="4"/>
      <c r="DH270" s="4"/>
      <c r="DI270" s="4"/>
      <c r="DJ270" s="4"/>
      <c r="DK270" s="4"/>
      <c r="DL270" s="4"/>
      <c r="DM270" s="4"/>
      <c r="DN270" s="4"/>
      <c r="DO270" s="4"/>
      <c r="DP270" s="4"/>
      <c r="DQ270" s="4"/>
      <c r="DR270" s="4"/>
      <c r="DS270" s="4"/>
      <c r="DT270" s="4"/>
      <c r="DU270" s="4"/>
      <c r="DV270" s="4"/>
      <c r="DW270" s="4"/>
      <c r="DX270" s="4"/>
      <c r="DY270" s="4"/>
      <c r="DZ270" s="4"/>
      <c r="EA270" s="4"/>
      <c r="EB270" s="4"/>
      <c r="EC270" s="4"/>
      <c r="ED270" s="4"/>
    </row>
    <row r="271" spans="2:134" ht="30" customHeight="1" thickBot="1" x14ac:dyDescent="0.35">
      <c r="B271" s="75" t="s">
        <v>219</v>
      </c>
      <c r="C271" s="14" t="s">
        <v>38</v>
      </c>
      <c r="D271" s="31">
        <v>0</v>
      </c>
      <c r="E271" s="50">
        <f>F269</f>
        <v>46419</v>
      </c>
      <c r="F271" s="50">
        <f>E271+1</f>
        <v>46420</v>
      </c>
      <c r="G271" s="29"/>
      <c r="H271" s="29">
        <f t="shared" si="76"/>
        <v>2</v>
      </c>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c r="CJ271" s="4"/>
      <c r="CK271" s="4"/>
      <c r="CL271" s="4"/>
      <c r="CM271" s="4"/>
      <c r="CN271" s="4"/>
      <c r="CO271" s="4"/>
      <c r="CP271" s="4"/>
      <c r="CQ271" s="4"/>
      <c r="CR271" s="4"/>
      <c r="CS271" s="4"/>
      <c r="CT271" s="4"/>
      <c r="CU271" s="4"/>
      <c r="CV271" s="4"/>
      <c r="CW271" s="4"/>
      <c r="CX271" s="4"/>
      <c r="CY271" s="4"/>
      <c r="CZ271" s="4"/>
      <c r="DA271" s="4"/>
      <c r="DB271" s="4"/>
      <c r="DC271" s="4"/>
      <c r="DD271" s="4"/>
      <c r="DE271" s="4"/>
      <c r="DF271" s="4"/>
      <c r="DG271" s="4"/>
      <c r="DH271" s="4"/>
      <c r="DI271" s="4"/>
      <c r="DJ271" s="4"/>
      <c r="DK271" s="4"/>
      <c r="DL271" s="4"/>
      <c r="DM271" s="4"/>
      <c r="DN271" s="4"/>
      <c r="DO271" s="4"/>
      <c r="DP271" s="4"/>
      <c r="DQ271" s="4"/>
      <c r="DR271" s="4"/>
      <c r="DS271" s="4"/>
      <c r="DT271" s="4"/>
      <c r="DU271" s="4"/>
      <c r="DV271" s="4"/>
      <c r="DW271" s="4"/>
      <c r="DX271" s="4"/>
      <c r="DY271" s="4"/>
      <c r="DZ271" s="4"/>
      <c r="EA271" s="4"/>
      <c r="EB271" s="4"/>
      <c r="EC271" s="4"/>
      <c r="ED271" s="4"/>
    </row>
    <row r="272" spans="2:134" ht="30" customHeight="1" thickBot="1" x14ac:dyDescent="0.35">
      <c r="B272" s="74" t="s">
        <v>221</v>
      </c>
      <c r="C272" s="71" t="s">
        <v>38</v>
      </c>
      <c r="D272" s="72"/>
      <c r="E272" s="73"/>
      <c r="F272" s="73"/>
      <c r="G272" s="29"/>
      <c r="H272" s="29" t="str">
        <f t="shared" si="76"/>
        <v/>
      </c>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c r="CL272" s="4"/>
      <c r="CM272" s="4"/>
      <c r="CN272" s="4"/>
      <c r="CO272" s="4"/>
      <c r="CP272" s="4"/>
      <c r="CQ272" s="4"/>
      <c r="CR272" s="4"/>
      <c r="CS272" s="4"/>
      <c r="CT272" s="4"/>
      <c r="CU272" s="4"/>
      <c r="CV272" s="4"/>
      <c r="CW272" s="4"/>
      <c r="CX272" s="4"/>
      <c r="CY272" s="4"/>
      <c r="CZ272" s="4"/>
      <c r="DA272" s="4"/>
      <c r="DB272" s="4"/>
      <c r="DC272" s="4"/>
      <c r="DD272" s="4"/>
      <c r="DE272" s="4"/>
      <c r="DF272" s="4"/>
      <c r="DG272" s="4"/>
      <c r="DH272" s="4"/>
      <c r="DI272" s="4"/>
      <c r="DJ272" s="4"/>
      <c r="DK272" s="4"/>
      <c r="DL272" s="4"/>
      <c r="DM272" s="4"/>
      <c r="DN272" s="4"/>
      <c r="DO272" s="4"/>
      <c r="DP272" s="4"/>
      <c r="DQ272" s="4"/>
      <c r="DR272" s="4"/>
      <c r="DS272" s="4"/>
      <c r="DT272" s="4"/>
      <c r="DU272" s="4"/>
      <c r="DV272" s="4"/>
      <c r="DW272" s="4"/>
      <c r="DX272" s="4"/>
      <c r="DY272" s="4"/>
      <c r="DZ272" s="4"/>
      <c r="EA272" s="4"/>
      <c r="EB272" s="4"/>
      <c r="EC272" s="4"/>
      <c r="ED272" s="4"/>
    </row>
    <row r="273" spans="2:134" ht="30" customHeight="1" thickBot="1" x14ac:dyDescent="0.35">
      <c r="B273" s="75" t="s">
        <v>222</v>
      </c>
      <c r="C273" s="14" t="s">
        <v>38</v>
      </c>
      <c r="D273" s="31">
        <v>0</v>
      </c>
      <c r="E273" s="50">
        <f>F271</f>
        <v>46420</v>
      </c>
      <c r="F273" s="50">
        <f>E273+1</f>
        <v>46421</v>
      </c>
      <c r="G273" s="29"/>
      <c r="H273" s="29">
        <f t="shared" si="76"/>
        <v>2</v>
      </c>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c r="CJ273" s="4"/>
      <c r="CK273" s="4"/>
      <c r="CL273" s="4"/>
      <c r="CM273" s="4"/>
      <c r="CN273" s="4"/>
      <c r="CO273" s="4"/>
      <c r="CP273" s="4"/>
      <c r="CQ273" s="4"/>
      <c r="CR273" s="4"/>
      <c r="CS273" s="4"/>
      <c r="CT273" s="4"/>
      <c r="CU273" s="4"/>
      <c r="CV273" s="4"/>
      <c r="CW273" s="4"/>
      <c r="CX273" s="4"/>
      <c r="CY273" s="4"/>
      <c r="CZ273" s="4"/>
      <c r="DA273" s="4"/>
      <c r="DB273" s="4"/>
      <c r="DC273" s="4"/>
      <c r="DD273" s="4"/>
      <c r="DE273" s="4"/>
      <c r="DF273" s="4"/>
      <c r="DG273" s="4"/>
      <c r="DH273" s="4"/>
      <c r="DI273" s="4"/>
      <c r="DJ273" s="4"/>
      <c r="DK273" s="4"/>
      <c r="DL273" s="4"/>
      <c r="DM273" s="4"/>
      <c r="DN273" s="4"/>
      <c r="DO273" s="4"/>
      <c r="DP273" s="4"/>
      <c r="DQ273" s="4"/>
      <c r="DR273" s="4"/>
      <c r="DS273" s="4"/>
      <c r="DT273" s="4"/>
      <c r="DU273" s="4"/>
      <c r="DV273" s="4"/>
      <c r="DW273" s="4"/>
      <c r="DX273" s="4"/>
      <c r="DY273" s="4"/>
      <c r="DZ273" s="4"/>
      <c r="EA273" s="4"/>
      <c r="EB273" s="4"/>
      <c r="EC273" s="4"/>
      <c r="ED273" s="4"/>
    </row>
    <row r="274" spans="2:134" ht="30" customHeight="1" thickBot="1" x14ac:dyDescent="0.35">
      <c r="B274" s="74" t="s">
        <v>268</v>
      </c>
      <c r="C274" s="71" t="s">
        <v>38</v>
      </c>
      <c r="D274" s="72"/>
      <c r="E274" s="73"/>
      <c r="F274" s="73"/>
      <c r="G274" s="29"/>
      <c r="H274" s="29" t="str">
        <f t="shared" si="76"/>
        <v/>
      </c>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c r="CJ274" s="4"/>
      <c r="CK274" s="4"/>
      <c r="CL274" s="4"/>
      <c r="CM274" s="4"/>
      <c r="CN274" s="4"/>
      <c r="CO274" s="4"/>
      <c r="CP274" s="4"/>
      <c r="CQ274" s="4"/>
      <c r="CR274" s="4"/>
      <c r="CS274" s="4"/>
      <c r="CT274" s="4"/>
      <c r="CU274" s="4"/>
      <c r="CV274" s="4"/>
      <c r="CW274" s="4"/>
      <c r="CX274" s="4"/>
      <c r="CY274" s="4"/>
      <c r="CZ274" s="4"/>
      <c r="DA274" s="4"/>
      <c r="DB274" s="4"/>
      <c r="DC274" s="4"/>
      <c r="DD274" s="4"/>
      <c r="DE274" s="4"/>
      <c r="DF274" s="4"/>
      <c r="DG274" s="4"/>
      <c r="DH274" s="4"/>
      <c r="DI274" s="4"/>
      <c r="DJ274" s="4"/>
      <c r="DK274" s="4"/>
      <c r="DL274" s="4"/>
      <c r="DM274" s="4"/>
      <c r="DN274" s="4"/>
      <c r="DO274" s="4"/>
      <c r="DP274" s="4"/>
      <c r="DQ274" s="4"/>
      <c r="DR274" s="4"/>
      <c r="DS274" s="4"/>
      <c r="DT274" s="4"/>
      <c r="DU274" s="4"/>
      <c r="DV274" s="4"/>
      <c r="DW274" s="4"/>
      <c r="DX274" s="4"/>
      <c r="DY274" s="4"/>
      <c r="DZ274" s="4"/>
      <c r="EA274" s="4"/>
      <c r="EB274" s="4"/>
      <c r="EC274" s="4"/>
      <c r="ED274" s="4"/>
    </row>
    <row r="275" spans="2:134" ht="30" customHeight="1" thickBot="1" x14ac:dyDescent="0.35">
      <c r="B275" s="80" t="s">
        <v>247</v>
      </c>
      <c r="C275" s="14" t="s">
        <v>38</v>
      </c>
      <c r="D275" s="31">
        <v>0</v>
      </c>
      <c r="E275" s="50">
        <f>F273</f>
        <v>46421</v>
      </c>
      <c r="F275" s="50">
        <f>E275+2</f>
        <v>46423</v>
      </c>
      <c r="G275" s="29"/>
      <c r="H275" s="29">
        <f t="shared" ref="H275:H276" si="77">IF(OR(ISBLANK(タスク_開始),ISBLANK(タスク_終了)),"",タスク_終了-タスク_開始+1)</f>
        <v>3</v>
      </c>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c r="CJ275" s="4"/>
      <c r="CK275" s="4"/>
      <c r="CL275" s="4"/>
      <c r="CM275" s="4"/>
      <c r="CN275" s="4"/>
      <c r="CO275" s="4"/>
      <c r="CP275" s="4"/>
      <c r="CQ275" s="4"/>
      <c r="CR275" s="4"/>
      <c r="CS275" s="4"/>
      <c r="CT275" s="4"/>
      <c r="CU275" s="4"/>
      <c r="CV275" s="4"/>
      <c r="CW275" s="4"/>
      <c r="CX275" s="4"/>
      <c r="CY275" s="4"/>
      <c r="CZ275" s="4"/>
      <c r="DA275" s="4"/>
      <c r="DB275" s="4"/>
      <c r="DC275" s="4"/>
      <c r="DD275" s="4"/>
      <c r="DE275" s="4"/>
      <c r="DF275" s="4"/>
      <c r="DG275" s="4"/>
      <c r="DH275" s="4"/>
      <c r="DI275" s="4"/>
      <c r="DJ275" s="4"/>
      <c r="DK275" s="4"/>
      <c r="DL275" s="4"/>
      <c r="DM275" s="4"/>
      <c r="DN275" s="4"/>
      <c r="DO275" s="4"/>
      <c r="DP275" s="4"/>
      <c r="DQ275" s="4"/>
      <c r="DR275" s="4"/>
      <c r="DS275" s="4"/>
      <c r="DT275" s="4"/>
      <c r="DU275" s="4"/>
      <c r="DV275" s="4"/>
      <c r="DW275" s="4"/>
      <c r="DX275" s="4"/>
      <c r="DY275" s="4"/>
      <c r="DZ275" s="4"/>
      <c r="EA275" s="4"/>
      <c r="EB275" s="4"/>
      <c r="EC275" s="4"/>
      <c r="ED275" s="4"/>
    </row>
    <row r="276" spans="2:134" ht="30" customHeight="1" thickBot="1" x14ac:dyDescent="0.35">
      <c r="B276" s="80" t="s">
        <v>269</v>
      </c>
      <c r="C276" s="14" t="s">
        <v>38</v>
      </c>
      <c r="D276" s="31">
        <v>0</v>
      </c>
      <c r="E276" s="50">
        <f>E275</f>
        <v>46421</v>
      </c>
      <c r="F276" s="50">
        <f>E276+2</f>
        <v>46423</v>
      </c>
      <c r="G276" s="29"/>
      <c r="H276" s="29">
        <f t="shared" si="77"/>
        <v>3</v>
      </c>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c r="CJ276" s="4"/>
      <c r="CK276" s="4"/>
      <c r="CL276" s="4"/>
      <c r="CM276" s="4"/>
      <c r="CN276" s="4"/>
      <c r="CO276" s="4"/>
      <c r="CP276" s="4"/>
      <c r="CQ276" s="4"/>
      <c r="CR276" s="4"/>
      <c r="CS276" s="4"/>
      <c r="CT276" s="4"/>
      <c r="CU276" s="4"/>
      <c r="CV276" s="4"/>
      <c r="CW276" s="4"/>
      <c r="CX276" s="4"/>
      <c r="CY276" s="4"/>
      <c r="CZ276" s="4"/>
      <c r="DA276" s="4"/>
      <c r="DB276" s="4"/>
      <c r="DC276" s="4"/>
      <c r="DD276" s="4"/>
      <c r="DE276" s="4"/>
      <c r="DF276" s="4"/>
      <c r="DG276" s="4"/>
      <c r="DH276" s="4"/>
      <c r="DI276" s="4"/>
      <c r="DJ276" s="4"/>
      <c r="DK276" s="4"/>
      <c r="DL276" s="4"/>
      <c r="DM276" s="4"/>
      <c r="DN276" s="4"/>
      <c r="DO276" s="4"/>
      <c r="DP276" s="4"/>
      <c r="DQ276" s="4"/>
      <c r="DR276" s="4"/>
      <c r="DS276" s="4"/>
      <c r="DT276" s="4"/>
      <c r="DU276" s="4"/>
      <c r="DV276" s="4"/>
      <c r="DW276" s="4"/>
      <c r="DX276" s="4"/>
      <c r="DY276" s="4"/>
      <c r="DZ276" s="4"/>
      <c r="EA276" s="4"/>
      <c r="EB276" s="4"/>
      <c r="EC276" s="4"/>
      <c r="ED276" s="4"/>
    </row>
    <row r="278" spans="2:134" ht="30" customHeight="1" x14ac:dyDescent="0.3">
      <c r="C278" s="32"/>
      <c r="F278" s="33"/>
    </row>
    <row r="279" spans="2:134" ht="30" customHeight="1" x14ac:dyDescent="0.3">
      <c r="C279" s="34"/>
    </row>
  </sheetData>
  <mergeCells count="21">
    <mergeCell ref="CV4:DB4"/>
    <mergeCell ref="DC4:DI4"/>
    <mergeCell ref="DJ4:DP4"/>
    <mergeCell ref="DQ4:DW4"/>
    <mergeCell ref="DX4:ED4"/>
    <mergeCell ref="BM4:BS4"/>
    <mergeCell ref="BT4:BZ4"/>
    <mergeCell ref="CA4:CG4"/>
    <mergeCell ref="CH4:CN4"/>
    <mergeCell ref="CO4:CU4"/>
    <mergeCell ref="C3:D3"/>
    <mergeCell ref="C4:D4"/>
    <mergeCell ref="AK4:AQ4"/>
    <mergeCell ref="AR4:AX4"/>
    <mergeCell ref="AY4:BE4"/>
    <mergeCell ref="BF4:BL4"/>
    <mergeCell ref="E3:F3"/>
    <mergeCell ref="I4:O4"/>
    <mergeCell ref="P4:V4"/>
    <mergeCell ref="W4:AC4"/>
    <mergeCell ref="AD4:AJ4"/>
  </mergeCells>
  <phoneticPr fontId="28"/>
  <conditionalFormatting sqref="D7:D13 D38 D40 D42 D251:D255 D261 D44">
    <cfRule type="dataBar" priority="297">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EC276">
    <cfRule type="expression" dxfId="5" priority="316">
      <formula>AND(TODAY()&gt;=I$5,TODAY()&lt;J$5)</formula>
    </cfRule>
  </conditionalFormatting>
  <conditionalFormatting sqref="I7:EC276">
    <cfRule type="expression" dxfId="4" priority="310">
      <formula>AND(タスク_開始&lt;=I$5,ROUNDDOWN((タスク_終了-タスク_開始+1)*タスク_進捗状況,0)+タスク_開始-1&gt;=I$5)</formula>
    </cfRule>
    <cfRule type="expression" dxfId="3" priority="311" stopIfTrue="1">
      <formula>AND(タスク_終了&gt;=I$5,タスク_開始&lt;J$5)</formula>
    </cfRule>
  </conditionalFormatting>
  <conditionalFormatting sqref="D14:D16">
    <cfRule type="dataBar" priority="283">
      <dataBar>
        <cfvo type="num" val="0"/>
        <cfvo type="num" val="1"/>
        <color theme="0" tint="-0.249977111117893"/>
      </dataBar>
      <extLst>
        <ext xmlns:x14="http://schemas.microsoft.com/office/spreadsheetml/2009/9/main" uri="{B025F937-C7B1-47D3-B67F-A62EFF666E3E}">
          <x14:id>{87C5E010-8310-4FB4-A168-D10427671A89}</x14:id>
        </ext>
      </extLst>
    </cfRule>
  </conditionalFormatting>
  <conditionalFormatting sqref="D17:D18">
    <cfRule type="dataBar" priority="282">
      <dataBar>
        <cfvo type="num" val="0"/>
        <cfvo type="num" val="1"/>
        <color theme="0" tint="-0.249977111117893"/>
      </dataBar>
      <extLst>
        <ext xmlns:x14="http://schemas.microsoft.com/office/spreadsheetml/2009/9/main" uri="{B025F937-C7B1-47D3-B67F-A62EFF666E3E}">
          <x14:id>{7C1C6A69-4235-4A53-9380-601594FBCD7D}</x14:id>
        </ext>
      </extLst>
    </cfRule>
  </conditionalFormatting>
  <conditionalFormatting sqref="D19:D21">
    <cfRule type="dataBar" priority="281">
      <dataBar>
        <cfvo type="num" val="0"/>
        <cfvo type="num" val="1"/>
        <color theme="0" tint="-0.249977111117893"/>
      </dataBar>
      <extLst>
        <ext xmlns:x14="http://schemas.microsoft.com/office/spreadsheetml/2009/9/main" uri="{B025F937-C7B1-47D3-B67F-A62EFF666E3E}">
          <x14:id>{AC3CB475-19DC-4CB9-B67C-84DB32F13110}</x14:id>
        </ext>
      </extLst>
    </cfRule>
  </conditionalFormatting>
  <conditionalFormatting sqref="D23">
    <cfRule type="dataBar" priority="280">
      <dataBar>
        <cfvo type="num" val="0"/>
        <cfvo type="num" val="1"/>
        <color theme="0" tint="-0.249977111117893"/>
      </dataBar>
      <extLst>
        <ext xmlns:x14="http://schemas.microsoft.com/office/spreadsheetml/2009/9/main" uri="{B025F937-C7B1-47D3-B67F-A62EFF666E3E}">
          <x14:id>{AC5D8716-4C8B-4EB9-B803-8E09D811BF85}</x14:id>
        </ext>
      </extLst>
    </cfRule>
  </conditionalFormatting>
  <conditionalFormatting sqref="D24">
    <cfRule type="dataBar" priority="279">
      <dataBar>
        <cfvo type="num" val="0"/>
        <cfvo type="num" val="1"/>
        <color theme="0" tint="-0.249977111117893"/>
      </dataBar>
      <extLst>
        <ext xmlns:x14="http://schemas.microsoft.com/office/spreadsheetml/2009/9/main" uri="{B025F937-C7B1-47D3-B67F-A62EFF666E3E}">
          <x14:id>{D01424E3-2596-442E-A54B-6AAD650EFEDC}</x14:id>
        </ext>
      </extLst>
    </cfRule>
  </conditionalFormatting>
  <conditionalFormatting sqref="D25:D26">
    <cfRule type="dataBar" priority="278">
      <dataBar>
        <cfvo type="num" val="0"/>
        <cfvo type="num" val="1"/>
        <color theme="0" tint="-0.249977111117893"/>
      </dataBar>
      <extLst>
        <ext xmlns:x14="http://schemas.microsoft.com/office/spreadsheetml/2009/9/main" uri="{B025F937-C7B1-47D3-B67F-A62EFF666E3E}">
          <x14:id>{5EF1BC09-E9B4-4006-A0A3-04C16DAD5AAB}</x14:id>
        </ext>
      </extLst>
    </cfRule>
  </conditionalFormatting>
  <conditionalFormatting sqref="D29:D30">
    <cfRule type="dataBar" priority="275">
      <dataBar>
        <cfvo type="num" val="0"/>
        <cfvo type="num" val="1"/>
        <color theme="0" tint="-0.249977111117893"/>
      </dataBar>
      <extLst>
        <ext xmlns:x14="http://schemas.microsoft.com/office/spreadsheetml/2009/9/main" uri="{B025F937-C7B1-47D3-B67F-A62EFF666E3E}">
          <x14:id>{EEB6099B-610F-420B-8586-6B7161D653E4}</x14:id>
        </ext>
      </extLst>
    </cfRule>
  </conditionalFormatting>
  <conditionalFormatting sqref="D31">
    <cfRule type="dataBar" priority="274">
      <dataBar>
        <cfvo type="num" val="0"/>
        <cfvo type="num" val="1"/>
        <color theme="0" tint="-0.249977111117893"/>
      </dataBar>
      <extLst>
        <ext xmlns:x14="http://schemas.microsoft.com/office/spreadsheetml/2009/9/main" uri="{B025F937-C7B1-47D3-B67F-A62EFF666E3E}">
          <x14:id>{5AC94562-9DBE-49E5-BE32-6C8F2E79BD05}</x14:id>
        </ext>
      </extLst>
    </cfRule>
  </conditionalFormatting>
  <conditionalFormatting sqref="D32:D33">
    <cfRule type="dataBar" priority="273">
      <dataBar>
        <cfvo type="num" val="0"/>
        <cfvo type="num" val="1"/>
        <color theme="0" tint="-0.249977111117893"/>
      </dataBar>
      <extLst>
        <ext xmlns:x14="http://schemas.microsoft.com/office/spreadsheetml/2009/9/main" uri="{B025F937-C7B1-47D3-B67F-A62EFF666E3E}">
          <x14:id>{49849B3A-31B6-4A20-8EEE-F5E1C676AE61}</x14:id>
        </ext>
      </extLst>
    </cfRule>
  </conditionalFormatting>
  <conditionalFormatting sqref="D27">
    <cfRule type="dataBar" priority="272">
      <dataBar>
        <cfvo type="num" val="0"/>
        <cfvo type="num" val="1"/>
        <color theme="0" tint="-0.249977111117893"/>
      </dataBar>
      <extLst>
        <ext xmlns:x14="http://schemas.microsoft.com/office/spreadsheetml/2009/9/main" uri="{B025F937-C7B1-47D3-B67F-A62EFF666E3E}">
          <x14:id>{6B6D3CEC-9B28-4019-AE08-2D810E8AD0F2}</x14:id>
        </ext>
      </extLst>
    </cfRule>
  </conditionalFormatting>
  <conditionalFormatting sqref="D36">
    <cfRule type="dataBar" priority="270">
      <dataBar>
        <cfvo type="num" val="0"/>
        <cfvo type="num" val="1"/>
        <color theme="0" tint="-0.249977111117893"/>
      </dataBar>
      <extLst>
        <ext xmlns:x14="http://schemas.microsoft.com/office/spreadsheetml/2009/9/main" uri="{B025F937-C7B1-47D3-B67F-A62EFF666E3E}">
          <x14:id>{7B1E953D-C70F-4293-A5A3-91226F040185}</x14:id>
        </ext>
      </extLst>
    </cfRule>
  </conditionalFormatting>
  <conditionalFormatting sqref="D34">
    <cfRule type="dataBar" priority="268">
      <dataBar>
        <cfvo type="num" val="0"/>
        <cfvo type="num" val="1"/>
        <color theme="0" tint="-0.249977111117893"/>
      </dataBar>
      <extLst>
        <ext xmlns:x14="http://schemas.microsoft.com/office/spreadsheetml/2009/9/main" uri="{B025F937-C7B1-47D3-B67F-A62EFF666E3E}">
          <x14:id>{A5F32CBE-C80F-421E-A11C-A14533654FB2}</x14:id>
        </ext>
      </extLst>
    </cfRule>
  </conditionalFormatting>
  <conditionalFormatting sqref="D28">
    <cfRule type="dataBar" priority="267">
      <dataBar>
        <cfvo type="num" val="0"/>
        <cfvo type="num" val="1"/>
        <color theme="0" tint="-0.249977111117893"/>
      </dataBar>
      <extLst>
        <ext xmlns:x14="http://schemas.microsoft.com/office/spreadsheetml/2009/9/main" uri="{B025F937-C7B1-47D3-B67F-A62EFF666E3E}">
          <x14:id>{FF0BE140-068C-4513-B4C0-E809F73146BD}</x14:id>
        </ext>
      </extLst>
    </cfRule>
  </conditionalFormatting>
  <conditionalFormatting sqref="D37">
    <cfRule type="dataBar" priority="266">
      <dataBar>
        <cfvo type="num" val="0"/>
        <cfvo type="num" val="1"/>
        <color theme="0" tint="-0.249977111117893"/>
      </dataBar>
      <extLst>
        <ext xmlns:x14="http://schemas.microsoft.com/office/spreadsheetml/2009/9/main" uri="{B025F937-C7B1-47D3-B67F-A62EFF666E3E}">
          <x14:id>{44FF6AD8-703A-4172-9DC6-B47EBF8CA558}</x14:id>
        </ext>
      </extLst>
    </cfRule>
  </conditionalFormatting>
  <conditionalFormatting sqref="D39">
    <cfRule type="dataBar" priority="265">
      <dataBar>
        <cfvo type="num" val="0"/>
        <cfvo type="num" val="1"/>
        <color theme="0" tint="-0.249977111117893"/>
      </dataBar>
      <extLst>
        <ext xmlns:x14="http://schemas.microsoft.com/office/spreadsheetml/2009/9/main" uri="{B025F937-C7B1-47D3-B67F-A62EFF666E3E}">
          <x14:id>{A0FFBE70-A130-44F4-A8BE-0E5489333805}</x14:id>
        </ext>
      </extLst>
    </cfRule>
  </conditionalFormatting>
  <conditionalFormatting sqref="D35">
    <cfRule type="dataBar" priority="264">
      <dataBar>
        <cfvo type="num" val="0"/>
        <cfvo type="num" val="1"/>
        <color theme="0" tint="-0.249977111117893"/>
      </dataBar>
      <extLst>
        <ext xmlns:x14="http://schemas.microsoft.com/office/spreadsheetml/2009/9/main" uri="{B025F937-C7B1-47D3-B67F-A62EFF666E3E}">
          <x14:id>{84359B2E-287F-41ED-917A-36BF5708E686}</x14:id>
        </ext>
      </extLst>
    </cfRule>
  </conditionalFormatting>
  <conditionalFormatting sqref="D41">
    <cfRule type="dataBar" priority="263">
      <dataBar>
        <cfvo type="num" val="0"/>
        <cfvo type="num" val="1"/>
        <color theme="0" tint="-0.249977111117893"/>
      </dataBar>
      <extLst>
        <ext xmlns:x14="http://schemas.microsoft.com/office/spreadsheetml/2009/9/main" uri="{B025F937-C7B1-47D3-B67F-A62EFF666E3E}">
          <x14:id>{B1B7E5E5-F7D1-469E-887C-2A955EC20C3A}</x14:id>
        </ext>
      </extLst>
    </cfRule>
  </conditionalFormatting>
  <conditionalFormatting sqref="D43">
    <cfRule type="dataBar" priority="262">
      <dataBar>
        <cfvo type="num" val="0"/>
        <cfvo type="num" val="1"/>
        <color theme="0" tint="-0.249977111117893"/>
      </dataBar>
      <extLst>
        <ext xmlns:x14="http://schemas.microsoft.com/office/spreadsheetml/2009/9/main" uri="{B025F937-C7B1-47D3-B67F-A62EFF666E3E}">
          <x14:id>{ED373300-1F8E-4B0B-815F-F291A0D2AF82}</x14:id>
        </ext>
      </extLst>
    </cfRule>
  </conditionalFormatting>
  <conditionalFormatting sqref="D46">
    <cfRule type="dataBar" priority="261">
      <dataBar>
        <cfvo type="num" val="0"/>
        <cfvo type="num" val="1"/>
        <color theme="0" tint="-0.249977111117893"/>
      </dataBar>
      <extLst>
        <ext xmlns:x14="http://schemas.microsoft.com/office/spreadsheetml/2009/9/main" uri="{B025F937-C7B1-47D3-B67F-A62EFF666E3E}">
          <x14:id>{FE9168E4-05E5-4635-B880-871517FF5196}</x14:id>
        </ext>
      </extLst>
    </cfRule>
  </conditionalFormatting>
  <conditionalFormatting sqref="D47">
    <cfRule type="dataBar" priority="260">
      <dataBar>
        <cfvo type="num" val="0"/>
        <cfvo type="num" val="1"/>
        <color theme="0" tint="-0.249977111117893"/>
      </dataBar>
      <extLst>
        <ext xmlns:x14="http://schemas.microsoft.com/office/spreadsheetml/2009/9/main" uri="{B025F937-C7B1-47D3-B67F-A62EFF666E3E}">
          <x14:id>{FC9E45F9-1B62-466D-B9D7-DF5BC6B8124B}</x14:id>
        </ext>
      </extLst>
    </cfRule>
  </conditionalFormatting>
  <conditionalFormatting sqref="D48">
    <cfRule type="dataBar" priority="259">
      <dataBar>
        <cfvo type="num" val="0"/>
        <cfvo type="num" val="1"/>
        <color theme="0" tint="-0.249977111117893"/>
      </dataBar>
      <extLst>
        <ext xmlns:x14="http://schemas.microsoft.com/office/spreadsheetml/2009/9/main" uri="{B025F937-C7B1-47D3-B67F-A62EFF666E3E}">
          <x14:id>{6D77E73C-6A87-4AB6-8CE2-074C9892D309}</x14:id>
        </ext>
      </extLst>
    </cfRule>
  </conditionalFormatting>
  <conditionalFormatting sqref="D50">
    <cfRule type="dataBar" priority="258">
      <dataBar>
        <cfvo type="num" val="0"/>
        <cfvo type="num" val="1"/>
        <color theme="0" tint="-0.249977111117893"/>
      </dataBar>
      <extLst>
        <ext xmlns:x14="http://schemas.microsoft.com/office/spreadsheetml/2009/9/main" uri="{B025F937-C7B1-47D3-B67F-A62EFF666E3E}">
          <x14:id>{023629D1-A3AC-4956-AB9A-EFFEFA649F2A}</x14:id>
        </ext>
      </extLst>
    </cfRule>
  </conditionalFormatting>
  <conditionalFormatting sqref="D49">
    <cfRule type="dataBar" priority="257">
      <dataBar>
        <cfvo type="num" val="0"/>
        <cfvo type="num" val="1"/>
        <color theme="0" tint="-0.249977111117893"/>
      </dataBar>
      <extLst>
        <ext xmlns:x14="http://schemas.microsoft.com/office/spreadsheetml/2009/9/main" uri="{B025F937-C7B1-47D3-B67F-A62EFF666E3E}">
          <x14:id>{5206462F-C478-4451-95D7-96C095673A18}</x14:id>
        </ext>
      </extLst>
    </cfRule>
  </conditionalFormatting>
  <conditionalFormatting sqref="D51">
    <cfRule type="dataBar" priority="256">
      <dataBar>
        <cfvo type="num" val="0"/>
        <cfvo type="num" val="1"/>
        <color theme="0" tint="-0.249977111117893"/>
      </dataBar>
      <extLst>
        <ext xmlns:x14="http://schemas.microsoft.com/office/spreadsheetml/2009/9/main" uri="{B025F937-C7B1-47D3-B67F-A62EFF666E3E}">
          <x14:id>{7E36976B-32A0-4E82-AE73-1534E1A2E7CB}</x14:id>
        </ext>
      </extLst>
    </cfRule>
  </conditionalFormatting>
  <conditionalFormatting sqref="D54">
    <cfRule type="dataBar" priority="255">
      <dataBar>
        <cfvo type="num" val="0"/>
        <cfvo type="num" val="1"/>
        <color theme="0" tint="-0.249977111117893"/>
      </dataBar>
      <extLst>
        <ext xmlns:x14="http://schemas.microsoft.com/office/spreadsheetml/2009/9/main" uri="{B025F937-C7B1-47D3-B67F-A62EFF666E3E}">
          <x14:id>{ED8513F2-7E38-493A-A127-019F391E72B5}</x14:id>
        </ext>
      </extLst>
    </cfRule>
  </conditionalFormatting>
  <conditionalFormatting sqref="D56">
    <cfRule type="dataBar" priority="254">
      <dataBar>
        <cfvo type="num" val="0"/>
        <cfvo type="num" val="1"/>
        <color theme="0" tint="-0.249977111117893"/>
      </dataBar>
      <extLst>
        <ext xmlns:x14="http://schemas.microsoft.com/office/spreadsheetml/2009/9/main" uri="{B025F937-C7B1-47D3-B67F-A62EFF666E3E}">
          <x14:id>{77C9E417-3877-47BA-9AC4-A102E0A51B7D}</x14:id>
        </ext>
      </extLst>
    </cfRule>
  </conditionalFormatting>
  <conditionalFormatting sqref="D55">
    <cfRule type="dataBar" priority="253">
      <dataBar>
        <cfvo type="num" val="0"/>
        <cfvo type="num" val="1"/>
        <color theme="0" tint="-0.249977111117893"/>
      </dataBar>
      <extLst>
        <ext xmlns:x14="http://schemas.microsoft.com/office/spreadsheetml/2009/9/main" uri="{B025F937-C7B1-47D3-B67F-A62EFF666E3E}">
          <x14:id>{A1029EBD-9EAE-4E1E-A9FF-7CBF6451BA00}</x14:id>
        </ext>
      </extLst>
    </cfRule>
  </conditionalFormatting>
  <conditionalFormatting sqref="D57">
    <cfRule type="dataBar" priority="252">
      <dataBar>
        <cfvo type="num" val="0"/>
        <cfvo type="num" val="1"/>
        <color theme="0" tint="-0.249977111117893"/>
      </dataBar>
      <extLst>
        <ext xmlns:x14="http://schemas.microsoft.com/office/spreadsheetml/2009/9/main" uri="{B025F937-C7B1-47D3-B67F-A62EFF666E3E}">
          <x14:id>{1032AF44-15E0-42DD-8467-D859BA98F9DA}</x14:id>
        </ext>
      </extLst>
    </cfRule>
  </conditionalFormatting>
  <conditionalFormatting sqref="D59">
    <cfRule type="dataBar" priority="248">
      <dataBar>
        <cfvo type="num" val="0"/>
        <cfvo type="num" val="1"/>
        <color theme="0" tint="-0.249977111117893"/>
      </dataBar>
      <extLst>
        <ext xmlns:x14="http://schemas.microsoft.com/office/spreadsheetml/2009/9/main" uri="{B025F937-C7B1-47D3-B67F-A62EFF666E3E}">
          <x14:id>{7DE5DC2A-C454-47F0-9928-16C0D999E105}</x14:id>
        </ext>
      </extLst>
    </cfRule>
  </conditionalFormatting>
  <conditionalFormatting sqref="D58">
    <cfRule type="dataBar" priority="247">
      <dataBar>
        <cfvo type="num" val="0"/>
        <cfvo type="num" val="1"/>
        <color theme="0" tint="-0.249977111117893"/>
      </dataBar>
      <extLst>
        <ext xmlns:x14="http://schemas.microsoft.com/office/spreadsheetml/2009/9/main" uri="{B025F937-C7B1-47D3-B67F-A62EFF666E3E}">
          <x14:id>{B917B205-C506-44AF-9841-C39EB23032ED}</x14:id>
        </ext>
      </extLst>
    </cfRule>
  </conditionalFormatting>
  <conditionalFormatting sqref="D60">
    <cfRule type="dataBar" priority="246">
      <dataBar>
        <cfvo type="num" val="0"/>
        <cfvo type="num" val="1"/>
        <color theme="0" tint="-0.249977111117893"/>
      </dataBar>
      <extLst>
        <ext xmlns:x14="http://schemas.microsoft.com/office/spreadsheetml/2009/9/main" uri="{B025F937-C7B1-47D3-B67F-A62EFF666E3E}">
          <x14:id>{35F0DD7A-73D1-494C-9E14-32AFAE9CD789}</x14:id>
        </ext>
      </extLst>
    </cfRule>
  </conditionalFormatting>
  <conditionalFormatting sqref="D62">
    <cfRule type="dataBar" priority="245">
      <dataBar>
        <cfvo type="num" val="0"/>
        <cfvo type="num" val="1"/>
        <color theme="0" tint="-0.249977111117893"/>
      </dataBar>
      <extLst>
        <ext xmlns:x14="http://schemas.microsoft.com/office/spreadsheetml/2009/9/main" uri="{B025F937-C7B1-47D3-B67F-A62EFF666E3E}">
          <x14:id>{F299CC38-D414-4D44-9BBA-0246B6FD84A0}</x14:id>
        </ext>
      </extLst>
    </cfRule>
  </conditionalFormatting>
  <conditionalFormatting sqref="D61">
    <cfRule type="dataBar" priority="244">
      <dataBar>
        <cfvo type="num" val="0"/>
        <cfvo type="num" val="1"/>
        <color theme="0" tint="-0.249977111117893"/>
      </dataBar>
      <extLst>
        <ext xmlns:x14="http://schemas.microsoft.com/office/spreadsheetml/2009/9/main" uri="{B025F937-C7B1-47D3-B67F-A62EFF666E3E}">
          <x14:id>{3FD9960A-6897-4A6B-A17D-3D9A2D38BAFB}</x14:id>
        </ext>
      </extLst>
    </cfRule>
  </conditionalFormatting>
  <conditionalFormatting sqref="D63">
    <cfRule type="dataBar" priority="233">
      <dataBar>
        <cfvo type="num" val="0"/>
        <cfvo type="num" val="1"/>
        <color theme="0" tint="-0.249977111117893"/>
      </dataBar>
      <extLst>
        <ext xmlns:x14="http://schemas.microsoft.com/office/spreadsheetml/2009/9/main" uri="{B025F937-C7B1-47D3-B67F-A62EFF666E3E}">
          <x14:id>{0092103B-89C7-4B47-AADB-9EA9CA19AC4B}</x14:id>
        </ext>
      </extLst>
    </cfRule>
  </conditionalFormatting>
  <conditionalFormatting sqref="D65">
    <cfRule type="dataBar" priority="232">
      <dataBar>
        <cfvo type="num" val="0"/>
        <cfvo type="num" val="1"/>
        <color theme="0" tint="-0.249977111117893"/>
      </dataBar>
      <extLst>
        <ext xmlns:x14="http://schemas.microsoft.com/office/spreadsheetml/2009/9/main" uri="{B025F937-C7B1-47D3-B67F-A62EFF666E3E}">
          <x14:id>{A3D4A31B-5333-4A5E-A2A2-2FA5AB3979B7}</x14:id>
        </ext>
      </extLst>
    </cfRule>
  </conditionalFormatting>
  <conditionalFormatting sqref="D64">
    <cfRule type="dataBar" priority="231">
      <dataBar>
        <cfvo type="num" val="0"/>
        <cfvo type="num" val="1"/>
        <color theme="0" tint="-0.249977111117893"/>
      </dataBar>
      <extLst>
        <ext xmlns:x14="http://schemas.microsoft.com/office/spreadsheetml/2009/9/main" uri="{B025F937-C7B1-47D3-B67F-A62EFF666E3E}">
          <x14:id>{B4C93C3F-A431-4383-9B50-5CE63492506A}</x14:id>
        </ext>
      </extLst>
    </cfRule>
  </conditionalFormatting>
  <conditionalFormatting sqref="D66">
    <cfRule type="dataBar" priority="230">
      <dataBar>
        <cfvo type="num" val="0"/>
        <cfvo type="num" val="1"/>
        <color theme="0" tint="-0.249977111117893"/>
      </dataBar>
      <extLst>
        <ext xmlns:x14="http://schemas.microsoft.com/office/spreadsheetml/2009/9/main" uri="{B025F937-C7B1-47D3-B67F-A62EFF666E3E}">
          <x14:id>{DBC7FDA9-7B94-4C6C-AED9-20EAFC0E61E9}</x14:id>
        </ext>
      </extLst>
    </cfRule>
  </conditionalFormatting>
  <conditionalFormatting sqref="D67">
    <cfRule type="dataBar" priority="229">
      <dataBar>
        <cfvo type="num" val="0"/>
        <cfvo type="num" val="1"/>
        <color theme="0" tint="-0.249977111117893"/>
      </dataBar>
      <extLst>
        <ext xmlns:x14="http://schemas.microsoft.com/office/spreadsheetml/2009/9/main" uri="{B025F937-C7B1-47D3-B67F-A62EFF666E3E}">
          <x14:id>{385A73FD-4117-4813-A8AE-1E1B054786D3}</x14:id>
        </ext>
      </extLst>
    </cfRule>
  </conditionalFormatting>
  <conditionalFormatting sqref="D69">
    <cfRule type="dataBar" priority="220">
      <dataBar>
        <cfvo type="num" val="0"/>
        <cfvo type="num" val="1"/>
        <color theme="0" tint="-0.249977111117893"/>
      </dataBar>
      <extLst>
        <ext xmlns:x14="http://schemas.microsoft.com/office/spreadsheetml/2009/9/main" uri="{B025F937-C7B1-47D3-B67F-A62EFF666E3E}">
          <x14:id>{08164B16-6158-4BA4-BB00-35E8B9DBDCC1}</x14:id>
        </ext>
      </extLst>
    </cfRule>
  </conditionalFormatting>
  <conditionalFormatting sqref="D68">
    <cfRule type="dataBar" priority="219">
      <dataBar>
        <cfvo type="num" val="0"/>
        <cfvo type="num" val="1"/>
        <color theme="0" tint="-0.249977111117893"/>
      </dataBar>
      <extLst>
        <ext xmlns:x14="http://schemas.microsoft.com/office/spreadsheetml/2009/9/main" uri="{B025F937-C7B1-47D3-B67F-A62EFF666E3E}">
          <x14:id>{6AD598C3-1BDC-43B5-9C21-7E2CC3DE4446}</x14:id>
        </ext>
      </extLst>
    </cfRule>
  </conditionalFormatting>
  <conditionalFormatting sqref="D71">
    <cfRule type="dataBar" priority="218">
      <dataBar>
        <cfvo type="num" val="0"/>
        <cfvo type="num" val="1"/>
        <color theme="0" tint="-0.249977111117893"/>
      </dataBar>
      <extLst>
        <ext xmlns:x14="http://schemas.microsoft.com/office/spreadsheetml/2009/9/main" uri="{B025F937-C7B1-47D3-B67F-A62EFF666E3E}">
          <x14:id>{B0448750-ADC1-465F-91FD-1A6892E9ECBB}</x14:id>
        </ext>
      </extLst>
    </cfRule>
  </conditionalFormatting>
  <conditionalFormatting sqref="D70">
    <cfRule type="dataBar" priority="217">
      <dataBar>
        <cfvo type="num" val="0"/>
        <cfvo type="num" val="1"/>
        <color theme="0" tint="-0.249977111117893"/>
      </dataBar>
      <extLst>
        <ext xmlns:x14="http://schemas.microsoft.com/office/spreadsheetml/2009/9/main" uri="{B025F937-C7B1-47D3-B67F-A62EFF666E3E}">
          <x14:id>{A006D97D-ACF3-47F0-A78E-8BD047EDE515}</x14:id>
        </ext>
      </extLst>
    </cfRule>
  </conditionalFormatting>
  <conditionalFormatting sqref="D75">
    <cfRule type="dataBar" priority="216">
      <dataBar>
        <cfvo type="num" val="0"/>
        <cfvo type="num" val="1"/>
        <color theme="0" tint="-0.249977111117893"/>
      </dataBar>
      <extLst>
        <ext xmlns:x14="http://schemas.microsoft.com/office/spreadsheetml/2009/9/main" uri="{B025F937-C7B1-47D3-B67F-A62EFF666E3E}">
          <x14:id>{902FB659-01C0-42CC-A483-3E7F28FD1446}</x14:id>
        </ext>
      </extLst>
    </cfRule>
  </conditionalFormatting>
  <conditionalFormatting sqref="D77">
    <cfRule type="dataBar" priority="215">
      <dataBar>
        <cfvo type="num" val="0"/>
        <cfvo type="num" val="1"/>
        <color theme="0" tint="-0.249977111117893"/>
      </dataBar>
      <extLst>
        <ext xmlns:x14="http://schemas.microsoft.com/office/spreadsheetml/2009/9/main" uri="{B025F937-C7B1-47D3-B67F-A62EFF666E3E}">
          <x14:id>{2EF00BD4-6D42-4991-B94D-FD87217E6162}</x14:id>
        </ext>
      </extLst>
    </cfRule>
  </conditionalFormatting>
  <conditionalFormatting sqref="D76">
    <cfRule type="dataBar" priority="214">
      <dataBar>
        <cfvo type="num" val="0"/>
        <cfvo type="num" val="1"/>
        <color theme="0" tint="-0.249977111117893"/>
      </dataBar>
      <extLst>
        <ext xmlns:x14="http://schemas.microsoft.com/office/spreadsheetml/2009/9/main" uri="{B025F937-C7B1-47D3-B67F-A62EFF666E3E}">
          <x14:id>{F0459694-2A1C-4C0A-AFCF-8FF61A0033E8}</x14:id>
        </ext>
      </extLst>
    </cfRule>
  </conditionalFormatting>
  <conditionalFormatting sqref="D78">
    <cfRule type="dataBar" priority="213">
      <dataBar>
        <cfvo type="num" val="0"/>
        <cfvo type="num" val="1"/>
        <color theme="0" tint="-0.249977111117893"/>
      </dataBar>
      <extLst>
        <ext xmlns:x14="http://schemas.microsoft.com/office/spreadsheetml/2009/9/main" uri="{B025F937-C7B1-47D3-B67F-A62EFF666E3E}">
          <x14:id>{6496EB11-4725-477D-9EF7-E50F81D82FA4}</x14:id>
        </ext>
      </extLst>
    </cfRule>
  </conditionalFormatting>
  <conditionalFormatting sqref="D79">
    <cfRule type="dataBar" priority="212">
      <dataBar>
        <cfvo type="num" val="0"/>
        <cfvo type="num" val="1"/>
        <color theme="0" tint="-0.249977111117893"/>
      </dataBar>
      <extLst>
        <ext xmlns:x14="http://schemas.microsoft.com/office/spreadsheetml/2009/9/main" uri="{B025F937-C7B1-47D3-B67F-A62EFF666E3E}">
          <x14:id>{EE067378-C3C2-41BA-A050-FCC677FA4079}</x14:id>
        </ext>
      </extLst>
    </cfRule>
  </conditionalFormatting>
  <conditionalFormatting sqref="D81">
    <cfRule type="dataBar" priority="211">
      <dataBar>
        <cfvo type="num" val="0"/>
        <cfvo type="num" val="1"/>
        <color theme="0" tint="-0.249977111117893"/>
      </dataBar>
      <extLst>
        <ext xmlns:x14="http://schemas.microsoft.com/office/spreadsheetml/2009/9/main" uri="{B025F937-C7B1-47D3-B67F-A62EFF666E3E}">
          <x14:id>{89709BDF-D366-43FA-A68A-762ED513E461}</x14:id>
        </ext>
      </extLst>
    </cfRule>
  </conditionalFormatting>
  <conditionalFormatting sqref="D80">
    <cfRule type="dataBar" priority="210">
      <dataBar>
        <cfvo type="num" val="0"/>
        <cfvo type="num" val="1"/>
        <color theme="0" tint="-0.249977111117893"/>
      </dataBar>
      <extLst>
        <ext xmlns:x14="http://schemas.microsoft.com/office/spreadsheetml/2009/9/main" uri="{B025F937-C7B1-47D3-B67F-A62EFF666E3E}">
          <x14:id>{59C3CCF8-0FF5-467B-A81C-7246B461BF44}</x14:id>
        </ext>
      </extLst>
    </cfRule>
  </conditionalFormatting>
  <conditionalFormatting sqref="D83">
    <cfRule type="dataBar" priority="209">
      <dataBar>
        <cfvo type="num" val="0"/>
        <cfvo type="num" val="1"/>
        <color theme="0" tint="-0.249977111117893"/>
      </dataBar>
      <extLst>
        <ext xmlns:x14="http://schemas.microsoft.com/office/spreadsheetml/2009/9/main" uri="{B025F937-C7B1-47D3-B67F-A62EFF666E3E}">
          <x14:id>{B252FE96-8167-46D2-9D26-5D966005DA42}</x14:id>
        </ext>
      </extLst>
    </cfRule>
  </conditionalFormatting>
  <conditionalFormatting sqref="D82">
    <cfRule type="dataBar" priority="208">
      <dataBar>
        <cfvo type="num" val="0"/>
        <cfvo type="num" val="1"/>
        <color theme="0" tint="-0.249977111117893"/>
      </dataBar>
      <extLst>
        <ext xmlns:x14="http://schemas.microsoft.com/office/spreadsheetml/2009/9/main" uri="{B025F937-C7B1-47D3-B67F-A62EFF666E3E}">
          <x14:id>{53373FE8-4EB7-4416-ABFA-C9E585D6B14A}</x14:id>
        </ext>
      </extLst>
    </cfRule>
  </conditionalFormatting>
  <conditionalFormatting sqref="D84">
    <cfRule type="dataBar" priority="207">
      <dataBar>
        <cfvo type="num" val="0"/>
        <cfvo type="num" val="1"/>
        <color theme="0" tint="-0.249977111117893"/>
      </dataBar>
      <extLst>
        <ext xmlns:x14="http://schemas.microsoft.com/office/spreadsheetml/2009/9/main" uri="{B025F937-C7B1-47D3-B67F-A62EFF666E3E}">
          <x14:id>{093AF43F-A3F9-4359-AD57-50CD46F7CDDE}</x14:id>
        </ext>
      </extLst>
    </cfRule>
  </conditionalFormatting>
  <conditionalFormatting sqref="D85">
    <cfRule type="dataBar" priority="206">
      <dataBar>
        <cfvo type="num" val="0"/>
        <cfvo type="num" val="1"/>
        <color theme="0" tint="-0.249977111117893"/>
      </dataBar>
      <extLst>
        <ext xmlns:x14="http://schemas.microsoft.com/office/spreadsheetml/2009/9/main" uri="{B025F937-C7B1-47D3-B67F-A62EFF666E3E}">
          <x14:id>{E6E79529-4E13-4310-A8A1-5E59A4544D6F}</x14:id>
        </ext>
      </extLst>
    </cfRule>
  </conditionalFormatting>
  <conditionalFormatting sqref="D86">
    <cfRule type="dataBar" priority="205">
      <dataBar>
        <cfvo type="num" val="0"/>
        <cfvo type="num" val="1"/>
        <color theme="0" tint="-0.249977111117893"/>
      </dataBar>
      <extLst>
        <ext xmlns:x14="http://schemas.microsoft.com/office/spreadsheetml/2009/9/main" uri="{B025F937-C7B1-47D3-B67F-A62EFF666E3E}">
          <x14:id>{6AECCE72-6DCA-4E56-A613-7AD71A8A86A0}</x14:id>
        </ext>
      </extLst>
    </cfRule>
  </conditionalFormatting>
  <conditionalFormatting sqref="D88">
    <cfRule type="dataBar" priority="204">
      <dataBar>
        <cfvo type="num" val="0"/>
        <cfvo type="num" val="1"/>
        <color theme="0" tint="-0.249977111117893"/>
      </dataBar>
      <extLst>
        <ext xmlns:x14="http://schemas.microsoft.com/office/spreadsheetml/2009/9/main" uri="{B025F937-C7B1-47D3-B67F-A62EFF666E3E}">
          <x14:id>{165B3956-E302-46DB-96E3-E318F408832C}</x14:id>
        </ext>
      </extLst>
    </cfRule>
  </conditionalFormatting>
  <conditionalFormatting sqref="D87">
    <cfRule type="dataBar" priority="203">
      <dataBar>
        <cfvo type="num" val="0"/>
        <cfvo type="num" val="1"/>
        <color theme="0" tint="-0.249977111117893"/>
      </dataBar>
      <extLst>
        <ext xmlns:x14="http://schemas.microsoft.com/office/spreadsheetml/2009/9/main" uri="{B025F937-C7B1-47D3-B67F-A62EFF666E3E}">
          <x14:id>{5C0CC4A6-63C3-4A06-90FA-F3CFC0993459}</x14:id>
        </ext>
      </extLst>
    </cfRule>
  </conditionalFormatting>
  <conditionalFormatting sqref="D89">
    <cfRule type="dataBar" priority="202">
      <dataBar>
        <cfvo type="num" val="0"/>
        <cfvo type="num" val="1"/>
        <color theme="0" tint="-0.249977111117893"/>
      </dataBar>
      <extLst>
        <ext xmlns:x14="http://schemas.microsoft.com/office/spreadsheetml/2009/9/main" uri="{B025F937-C7B1-47D3-B67F-A62EFF666E3E}">
          <x14:id>{7A58CA9E-61C3-457A-ABD3-D1DA12E8859A}</x14:id>
        </ext>
      </extLst>
    </cfRule>
  </conditionalFormatting>
  <conditionalFormatting sqref="D90">
    <cfRule type="dataBar" priority="201">
      <dataBar>
        <cfvo type="num" val="0"/>
        <cfvo type="num" val="1"/>
        <color theme="0" tint="-0.249977111117893"/>
      </dataBar>
      <extLst>
        <ext xmlns:x14="http://schemas.microsoft.com/office/spreadsheetml/2009/9/main" uri="{B025F937-C7B1-47D3-B67F-A62EFF666E3E}">
          <x14:id>{6B5902D7-CB6D-4A0E-93A2-1898FE336388}</x14:id>
        </ext>
      </extLst>
    </cfRule>
  </conditionalFormatting>
  <conditionalFormatting sqref="D92">
    <cfRule type="dataBar" priority="200">
      <dataBar>
        <cfvo type="num" val="0"/>
        <cfvo type="num" val="1"/>
        <color theme="0" tint="-0.249977111117893"/>
      </dataBar>
      <extLst>
        <ext xmlns:x14="http://schemas.microsoft.com/office/spreadsheetml/2009/9/main" uri="{B025F937-C7B1-47D3-B67F-A62EFF666E3E}">
          <x14:id>{EA7E397D-2E51-4CEA-8060-8A2362BE6A96}</x14:id>
        </ext>
      </extLst>
    </cfRule>
  </conditionalFormatting>
  <conditionalFormatting sqref="D91">
    <cfRule type="dataBar" priority="199">
      <dataBar>
        <cfvo type="num" val="0"/>
        <cfvo type="num" val="1"/>
        <color theme="0" tint="-0.249977111117893"/>
      </dataBar>
      <extLst>
        <ext xmlns:x14="http://schemas.microsoft.com/office/spreadsheetml/2009/9/main" uri="{B025F937-C7B1-47D3-B67F-A62EFF666E3E}">
          <x14:id>{04CDF161-E257-47A0-8DFE-8D0E59D0F26B}</x14:id>
        </ext>
      </extLst>
    </cfRule>
  </conditionalFormatting>
  <conditionalFormatting sqref="D94">
    <cfRule type="dataBar" priority="198">
      <dataBar>
        <cfvo type="num" val="0"/>
        <cfvo type="num" val="1"/>
        <color theme="0" tint="-0.249977111117893"/>
      </dataBar>
      <extLst>
        <ext xmlns:x14="http://schemas.microsoft.com/office/spreadsheetml/2009/9/main" uri="{B025F937-C7B1-47D3-B67F-A62EFF666E3E}">
          <x14:id>{AAFEFF09-3E33-4BEC-8EBD-284295E9BC5B}</x14:id>
        </ext>
      </extLst>
    </cfRule>
  </conditionalFormatting>
  <conditionalFormatting sqref="D93">
    <cfRule type="dataBar" priority="197">
      <dataBar>
        <cfvo type="num" val="0"/>
        <cfvo type="num" val="1"/>
        <color theme="0" tint="-0.249977111117893"/>
      </dataBar>
      <extLst>
        <ext xmlns:x14="http://schemas.microsoft.com/office/spreadsheetml/2009/9/main" uri="{B025F937-C7B1-47D3-B67F-A62EFF666E3E}">
          <x14:id>{FBA43F0E-6E7F-4BD2-A7D1-E1CA97436756}</x14:id>
        </ext>
      </extLst>
    </cfRule>
  </conditionalFormatting>
  <conditionalFormatting sqref="D95">
    <cfRule type="dataBar" priority="196">
      <dataBar>
        <cfvo type="num" val="0"/>
        <cfvo type="num" val="1"/>
        <color theme="0" tint="-0.249977111117893"/>
      </dataBar>
      <extLst>
        <ext xmlns:x14="http://schemas.microsoft.com/office/spreadsheetml/2009/9/main" uri="{B025F937-C7B1-47D3-B67F-A62EFF666E3E}">
          <x14:id>{67621224-A9EB-4B6F-941A-E6EDD45A1127}</x14:id>
        </ext>
      </extLst>
    </cfRule>
  </conditionalFormatting>
  <conditionalFormatting sqref="D97">
    <cfRule type="dataBar" priority="194">
      <dataBar>
        <cfvo type="num" val="0"/>
        <cfvo type="num" val="1"/>
        <color theme="0" tint="-0.249977111117893"/>
      </dataBar>
      <extLst>
        <ext xmlns:x14="http://schemas.microsoft.com/office/spreadsheetml/2009/9/main" uri="{B025F937-C7B1-47D3-B67F-A62EFF666E3E}">
          <x14:id>{E41819C5-DE6D-4F02-A801-97B06EBEB74A}</x14:id>
        </ext>
      </extLst>
    </cfRule>
  </conditionalFormatting>
  <conditionalFormatting sqref="D99">
    <cfRule type="dataBar" priority="193">
      <dataBar>
        <cfvo type="num" val="0"/>
        <cfvo type="num" val="1"/>
        <color theme="0" tint="-0.249977111117893"/>
      </dataBar>
      <extLst>
        <ext xmlns:x14="http://schemas.microsoft.com/office/spreadsheetml/2009/9/main" uri="{B025F937-C7B1-47D3-B67F-A62EFF666E3E}">
          <x14:id>{EC86A341-02FC-4F96-B414-1D5BA2089C09}</x14:id>
        </ext>
      </extLst>
    </cfRule>
  </conditionalFormatting>
  <conditionalFormatting sqref="D98">
    <cfRule type="dataBar" priority="192">
      <dataBar>
        <cfvo type="num" val="0"/>
        <cfvo type="num" val="1"/>
        <color theme="0" tint="-0.249977111117893"/>
      </dataBar>
      <extLst>
        <ext xmlns:x14="http://schemas.microsoft.com/office/spreadsheetml/2009/9/main" uri="{B025F937-C7B1-47D3-B67F-A62EFF666E3E}">
          <x14:id>{BF7AE6A7-2F6E-419D-B6FB-EC0700FA3CA3}</x14:id>
        </ext>
      </extLst>
    </cfRule>
  </conditionalFormatting>
  <conditionalFormatting sqref="D100">
    <cfRule type="dataBar" priority="191">
      <dataBar>
        <cfvo type="num" val="0"/>
        <cfvo type="num" val="1"/>
        <color theme="0" tint="-0.249977111117893"/>
      </dataBar>
      <extLst>
        <ext xmlns:x14="http://schemas.microsoft.com/office/spreadsheetml/2009/9/main" uri="{B025F937-C7B1-47D3-B67F-A62EFF666E3E}">
          <x14:id>{375BC1F4-FB71-4F13-9628-9638EB9A84CF}</x14:id>
        </ext>
      </extLst>
    </cfRule>
  </conditionalFormatting>
  <conditionalFormatting sqref="D101">
    <cfRule type="dataBar" priority="190">
      <dataBar>
        <cfvo type="num" val="0"/>
        <cfvo type="num" val="1"/>
        <color theme="0" tint="-0.249977111117893"/>
      </dataBar>
      <extLst>
        <ext xmlns:x14="http://schemas.microsoft.com/office/spreadsheetml/2009/9/main" uri="{B025F937-C7B1-47D3-B67F-A62EFF666E3E}">
          <x14:id>{776484C2-8638-4DEB-80AF-2A42163EAF5F}</x14:id>
        </ext>
      </extLst>
    </cfRule>
  </conditionalFormatting>
  <conditionalFormatting sqref="D103">
    <cfRule type="dataBar" priority="189">
      <dataBar>
        <cfvo type="num" val="0"/>
        <cfvo type="num" val="1"/>
        <color theme="0" tint="-0.249977111117893"/>
      </dataBar>
      <extLst>
        <ext xmlns:x14="http://schemas.microsoft.com/office/spreadsheetml/2009/9/main" uri="{B025F937-C7B1-47D3-B67F-A62EFF666E3E}">
          <x14:id>{DDF998B1-4841-4F0E-9137-9C5A6DD22941}</x14:id>
        </ext>
      </extLst>
    </cfRule>
  </conditionalFormatting>
  <conditionalFormatting sqref="D102">
    <cfRule type="dataBar" priority="188">
      <dataBar>
        <cfvo type="num" val="0"/>
        <cfvo type="num" val="1"/>
        <color theme="0" tint="-0.249977111117893"/>
      </dataBar>
      <extLst>
        <ext xmlns:x14="http://schemas.microsoft.com/office/spreadsheetml/2009/9/main" uri="{B025F937-C7B1-47D3-B67F-A62EFF666E3E}">
          <x14:id>{11D835C9-9A33-40C9-979C-5DE7C08F31DC}</x14:id>
        </ext>
      </extLst>
    </cfRule>
  </conditionalFormatting>
  <conditionalFormatting sqref="D105">
    <cfRule type="dataBar" priority="187">
      <dataBar>
        <cfvo type="num" val="0"/>
        <cfvo type="num" val="1"/>
        <color theme="0" tint="-0.249977111117893"/>
      </dataBar>
      <extLst>
        <ext xmlns:x14="http://schemas.microsoft.com/office/spreadsheetml/2009/9/main" uri="{B025F937-C7B1-47D3-B67F-A62EFF666E3E}">
          <x14:id>{8FCCA79C-4821-4DCA-9E66-F83A1C658B2A}</x14:id>
        </ext>
      </extLst>
    </cfRule>
  </conditionalFormatting>
  <conditionalFormatting sqref="D104">
    <cfRule type="dataBar" priority="186">
      <dataBar>
        <cfvo type="num" val="0"/>
        <cfvo type="num" val="1"/>
        <color theme="0" tint="-0.249977111117893"/>
      </dataBar>
      <extLst>
        <ext xmlns:x14="http://schemas.microsoft.com/office/spreadsheetml/2009/9/main" uri="{B025F937-C7B1-47D3-B67F-A62EFF666E3E}">
          <x14:id>{A332004A-A78C-4391-9DD2-3CD1940B28C7}</x14:id>
        </ext>
      </extLst>
    </cfRule>
  </conditionalFormatting>
  <conditionalFormatting sqref="D106">
    <cfRule type="dataBar" priority="183">
      <dataBar>
        <cfvo type="num" val="0"/>
        <cfvo type="num" val="1"/>
        <color theme="0" tint="-0.249977111117893"/>
      </dataBar>
      <extLst>
        <ext xmlns:x14="http://schemas.microsoft.com/office/spreadsheetml/2009/9/main" uri="{B025F937-C7B1-47D3-B67F-A62EFF666E3E}">
          <x14:id>{138952DF-8C56-43E2-8E60-912A9D2BABD8}</x14:id>
        </ext>
      </extLst>
    </cfRule>
  </conditionalFormatting>
  <conditionalFormatting sqref="D108">
    <cfRule type="dataBar" priority="182">
      <dataBar>
        <cfvo type="num" val="0"/>
        <cfvo type="num" val="1"/>
        <color theme="0" tint="-0.249977111117893"/>
      </dataBar>
      <extLst>
        <ext xmlns:x14="http://schemas.microsoft.com/office/spreadsheetml/2009/9/main" uri="{B025F937-C7B1-47D3-B67F-A62EFF666E3E}">
          <x14:id>{7DA69955-1BC7-4419-9415-B1C87ED63030}</x14:id>
        </ext>
      </extLst>
    </cfRule>
  </conditionalFormatting>
  <conditionalFormatting sqref="D107">
    <cfRule type="dataBar" priority="181">
      <dataBar>
        <cfvo type="num" val="0"/>
        <cfvo type="num" val="1"/>
        <color theme="0" tint="-0.249977111117893"/>
      </dataBar>
      <extLst>
        <ext xmlns:x14="http://schemas.microsoft.com/office/spreadsheetml/2009/9/main" uri="{B025F937-C7B1-47D3-B67F-A62EFF666E3E}">
          <x14:id>{0D8B80AD-0F93-4A0C-9486-C95D7F5B53C6}</x14:id>
        </ext>
      </extLst>
    </cfRule>
  </conditionalFormatting>
  <conditionalFormatting sqref="D109">
    <cfRule type="dataBar" priority="180">
      <dataBar>
        <cfvo type="num" val="0"/>
        <cfvo type="num" val="1"/>
        <color theme="0" tint="-0.249977111117893"/>
      </dataBar>
      <extLst>
        <ext xmlns:x14="http://schemas.microsoft.com/office/spreadsheetml/2009/9/main" uri="{B025F937-C7B1-47D3-B67F-A62EFF666E3E}">
          <x14:id>{5C3B52B0-D2F0-4306-AF03-F2880BE32C9D}</x14:id>
        </ext>
      </extLst>
    </cfRule>
  </conditionalFormatting>
  <conditionalFormatting sqref="D110">
    <cfRule type="dataBar" priority="179">
      <dataBar>
        <cfvo type="num" val="0"/>
        <cfvo type="num" val="1"/>
        <color theme="0" tint="-0.249977111117893"/>
      </dataBar>
      <extLst>
        <ext xmlns:x14="http://schemas.microsoft.com/office/spreadsheetml/2009/9/main" uri="{B025F937-C7B1-47D3-B67F-A62EFF666E3E}">
          <x14:id>{9EC3A6F0-AB8F-410B-BC82-183247DFB4EC}</x14:id>
        </ext>
      </extLst>
    </cfRule>
  </conditionalFormatting>
  <conditionalFormatting sqref="D112">
    <cfRule type="dataBar" priority="178">
      <dataBar>
        <cfvo type="num" val="0"/>
        <cfvo type="num" val="1"/>
        <color theme="0" tint="-0.249977111117893"/>
      </dataBar>
      <extLst>
        <ext xmlns:x14="http://schemas.microsoft.com/office/spreadsheetml/2009/9/main" uri="{B025F937-C7B1-47D3-B67F-A62EFF666E3E}">
          <x14:id>{104A3ED0-8E77-4DBD-9077-AC779FFEFC06}</x14:id>
        </ext>
      </extLst>
    </cfRule>
  </conditionalFormatting>
  <conditionalFormatting sqref="D111">
    <cfRule type="dataBar" priority="177">
      <dataBar>
        <cfvo type="num" val="0"/>
        <cfvo type="num" val="1"/>
        <color theme="0" tint="-0.249977111117893"/>
      </dataBar>
      <extLst>
        <ext xmlns:x14="http://schemas.microsoft.com/office/spreadsheetml/2009/9/main" uri="{B025F937-C7B1-47D3-B67F-A62EFF666E3E}">
          <x14:id>{248DCC98-E309-424D-85AC-2BBBC9A2D57D}</x14:id>
        </ext>
      </extLst>
    </cfRule>
  </conditionalFormatting>
  <conditionalFormatting sqref="D114">
    <cfRule type="dataBar" priority="176">
      <dataBar>
        <cfvo type="num" val="0"/>
        <cfvo type="num" val="1"/>
        <color theme="0" tint="-0.249977111117893"/>
      </dataBar>
      <extLst>
        <ext xmlns:x14="http://schemas.microsoft.com/office/spreadsheetml/2009/9/main" uri="{B025F937-C7B1-47D3-B67F-A62EFF666E3E}">
          <x14:id>{5B9B2DA9-468D-4C68-B5E4-BCBF0BF042A1}</x14:id>
        </ext>
      </extLst>
    </cfRule>
  </conditionalFormatting>
  <conditionalFormatting sqref="D113">
    <cfRule type="dataBar" priority="175">
      <dataBar>
        <cfvo type="num" val="0"/>
        <cfvo type="num" val="1"/>
        <color theme="0" tint="-0.249977111117893"/>
      </dataBar>
      <extLst>
        <ext xmlns:x14="http://schemas.microsoft.com/office/spreadsheetml/2009/9/main" uri="{B025F937-C7B1-47D3-B67F-A62EFF666E3E}">
          <x14:id>{6BE2CC1A-1881-4CE6-BB50-C6BCF889E62D}</x14:id>
        </ext>
      </extLst>
    </cfRule>
  </conditionalFormatting>
  <conditionalFormatting sqref="D115">
    <cfRule type="dataBar" priority="174">
      <dataBar>
        <cfvo type="num" val="0"/>
        <cfvo type="num" val="1"/>
        <color theme="0" tint="-0.249977111117893"/>
      </dataBar>
      <extLst>
        <ext xmlns:x14="http://schemas.microsoft.com/office/spreadsheetml/2009/9/main" uri="{B025F937-C7B1-47D3-B67F-A62EFF666E3E}">
          <x14:id>{88F5A52F-945D-453B-8C41-4C15445E03B5}</x14:id>
        </ext>
      </extLst>
    </cfRule>
  </conditionalFormatting>
  <conditionalFormatting sqref="D116">
    <cfRule type="dataBar" priority="173">
      <dataBar>
        <cfvo type="num" val="0"/>
        <cfvo type="num" val="1"/>
        <color theme="0" tint="-0.249977111117893"/>
      </dataBar>
      <extLst>
        <ext xmlns:x14="http://schemas.microsoft.com/office/spreadsheetml/2009/9/main" uri="{B025F937-C7B1-47D3-B67F-A62EFF666E3E}">
          <x14:id>{7F68FF78-30EB-415D-BB86-9E6116AA1C98}</x14:id>
        </ext>
      </extLst>
    </cfRule>
  </conditionalFormatting>
  <conditionalFormatting sqref="D139">
    <cfRule type="dataBar" priority="172">
      <dataBar>
        <cfvo type="num" val="0"/>
        <cfvo type="num" val="1"/>
        <color theme="0" tint="-0.249977111117893"/>
      </dataBar>
      <extLst>
        <ext xmlns:x14="http://schemas.microsoft.com/office/spreadsheetml/2009/9/main" uri="{B025F937-C7B1-47D3-B67F-A62EFF666E3E}">
          <x14:id>{A752558A-BDAD-4E50-8953-96728ABACC9C}</x14:id>
        </ext>
      </extLst>
    </cfRule>
  </conditionalFormatting>
  <conditionalFormatting sqref="D141">
    <cfRule type="dataBar" priority="171">
      <dataBar>
        <cfvo type="num" val="0"/>
        <cfvo type="num" val="1"/>
        <color theme="0" tint="-0.249977111117893"/>
      </dataBar>
      <extLst>
        <ext xmlns:x14="http://schemas.microsoft.com/office/spreadsheetml/2009/9/main" uri="{B025F937-C7B1-47D3-B67F-A62EFF666E3E}">
          <x14:id>{96CF7553-66B1-43F0-A488-B74C3BA1C2E0}</x14:id>
        </ext>
      </extLst>
    </cfRule>
  </conditionalFormatting>
  <conditionalFormatting sqref="D140">
    <cfRule type="dataBar" priority="170">
      <dataBar>
        <cfvo type="num" val="0"/>
        <cfvo type="num" val="1"/>
        <color theme="0" tint="-0.249977111117893"/>
      </dataBar>
      <extLst>
        <ext xmlns:x14="http://schemas.microsoft.com/office/spreadsheetml/2009/9/main" uri="{B025F937-C7B1-47D3-B67F-A62EFF666E3E}">
          <x14:id>{FAA3A1CC-08F3-4810-9A3E-F87A49BF751F}</x14:id>
        </ext>
      </extLst>
    </cfRule>
  </conditionalFormatting>
  <conditionalFormatting sqref="D142">
    <cfRule type="dataBar" priority="169">
      <dataBar>
        <cfvo type="num" val="0"/>
        <cfvo type="num" val="1"/>
        <color theme="0" tint="-0.249977111117893"/>
      </dataBar>
      <extLst>
        <ext xmlns:x14="http://schemas.microsoft.com/office/spreadsheetml/2009/9/main" uri="{B025F937-C7B1-47D3-B67F-A62EFF666E3E}">
          <x14:id>{076C4FAB-41CD-4EF4-9F4F-ACC79B1D7281}</x14:id>
        </ext>
      </extLst>
    </cfRule>
  </conditionalFormatting>
  <conditionalFormatting sqref="D143">
    <cfRule type="dataBar" priority="168">
      <dataBar>
        <cfvo type="num" val="0"/>
        <cfvo type="num" val="1"/>
        <color theme="0" tint="-0.249977111117893"/>
      </dataBar>
      <extLst>
        <ext xmlns:x14="http://schemas.microsoft.com/office/spreadsheetml/2009/9/main" uri="{B025F937-C7B1-47D3-B67F-A62EFF666E3E}">
          <x14:id>{5D7501C1-6040-48DE-AB79-F85BC3A56404}</x14:id>
        </ext>
      </extLst>
    </cfRule>
  </conditionalFormatting>
  <conditionalFormatting sqref="D145">
    <cfRule type="dataBar" priority="167">
      <dataBar>
        <cfvo type="num" val="0"/>
        <cfvo type="num" val="1"/>
        <color theme="0" tint="-0.249977111117893"/>
      </dataBar>
      <extLst>
        <ext xmlns:x14="http://schemas.microsoft.com/office/spreadsheetml/2009/9/main" uri="{B025F937-C7B1-47D3-B67F-A62EFF666E3E}">
          <x14:id>{8342D6FD-976B-429F-B620-B03D8378EE56}</x14:id>
        </ext>
      </extLst>
    </cfRule>
  </conditionalFormatting>
  <conditionalFormatting sqref="D144">
    <cfRule type="dataBar" priority="166">
      <dataBar>
        <cfvo type="num" val="0"/>
        <cfvo type="num" val="1"/>
        <color theme="0" tint="-0.249977111117893"/>
      </dataBar>
      <extLst>
        <ext xmlns:x14="http://schemas.microsoft.com/office/spreadsheetml/2009/9/main" uri="{B025F937-C7B1-47D3-B67F-A62EFF666E3E}">
          <x14:id>{CF57DF3A-86A3-4F8F-AA36-AD1F8885B90D}</x14:id>
        </ext>
      </extLst>
    </cfRule>
  </conditionalFormatting>
  <conditionalFormatting sqref="D146">
    <cfRule type="dataBar" priority="165">
      <dataBar>
        <cfvo type="num" val="0"/>
        <cfvo type="num" val="1"/>
        <color theme="0" tint="-0.249977111117893"/>
      </dataBar>
      <extLst>
        <ext xmlns:x14="http://schemas.microsoft.com/office/spreadsheetml/2009/9/main" uri="{B025F937-C7B1-47D3-B67F-A62EFF666E3E}">
          <x14:id>{5F2EBE6C-0381-4E7E-AC9A-4DE40239ABDA}</x14:id>
        </ext>
      </extLst>
    </cfRule>
  </conditionalFormatting>
  <conditionalFormatting sqref="D147">
    <cfRule type="dataBar" priority="164">
      <dataBar>
        <cfvo type="num" val="0"/>
        <cfvo type="num" val="1"/>
        <color theme="0" tint="-0.249977111117893"/>
      </dataBar>
      <extLst>
        <ext xmlns:x14="http://schemas.microsoft.com/office/spreadsheetml/2009/9/main" uri="{B025F937-C7B1-47D3-B67F-A62EFF666E3E}">
          <x14:id>{0FB0868A-00FB-4708-BFBD-206FD3557F36}</x14:id>
        </ext>
      </extLst>
    </cfRule>
  </conditionalFormatting>
  <conditionalFormatting sqref="D186">
    <cfRule type="dataBar" priority="163">
      <dataBar>
        <cfvo type="num" val="0"/>
        <cfvo type="num" val="1"/>
        <color theme="0" tint="-0.249977111117893"/>
      </dataBar>
      <extLst>
        <ext xmlns:x14="http://schemas.microsoft.com/office/spreadsheetml/2009/9/main" uri="{B025F937-C7B1-47D3-B67F-A62EFF666E3E}">
          <x14:id>{1E1C630D-C271-4DFF-9388-8B3AA53E9389}</x14:id>
        </ext>
      </extLst>
    </cfRule>
  </conditionalFormatting>
  <conditionalFormatting sqref="D188">
    <cfRule type="dataBar" priority="162">
      <dataBar>
        <cfvo type="num" val="0"/>
        <cfvo type="num" val="1"/>
        <color theme="0" tint="-0.249977111117893"/>
      </dataBar>
      <extLst>
        <ext xmlns:x14="http://schemas.microsoft.com/office/spreadsheetml/2009/9/main" uri="{B025F937-C7B1-47D3-B67F-A62EFF666E3E}">
          <x14:id>{B79BE7E0-5746-40BC-BFDD-6AB44577824C}</x14:id>
        </ext>
      </extLst>
    </cfRule>
  </conditionalFormatting>
  <conditionalFormatting sqref="D187">
    <cfRule type="dataBar" priority="161">
      <dataBar>
        <cfvo type="num" val="0"/>
        <cfvo type="num" val="1"/>
        <color theme="0" tint="-0.249977111117893"/>
      </dataBar>
      <extLst>
        <ext xmlns:x14="http://schemas.microsoft.com/office/spreadsheetml/2009/9/main" uri="{B025F937-C7B1-47D3-B67F-A62EFF666E3E}">
          <x14:id>{3876D18E-3B73-443F-97C3-0C8E5FBD1255}</x14:id>
        </ext>
      </extLst>
    </cfRule>
  </conditionalFormatting>
  <conditionalFormatting sqref="D189">
    <cfRule type="dataBar" priority="160">
      <dataBar>
        <cfvo type="num" val="0"/>
        <cfvo type="num" val="1"/>
        <color theme="0" tint="-0.249977111117893"/>
      </dataBar>
      <extLst>
        <ext xmlns:x14="http://schemas.microsoft.com/office/spreadsheetml/2009/9/main" uri="{B025F937-C7B1-47D3-B67F-A62EFF666E3E}">
          <x14:id>{91362199-0A79-476E-86D5-73C26AC94461}</x14:id>
        </ext>
      </extLst>
    </cfRule>
  </conditionalFormatting>
  <conditionalFormatting sqref="D193">
    <cfRule type="dataBar" priority="158">
      <dataBar>
        <cfvo type="num" val="0"/>
        <cfvo type="num" val="1"/>
        <color theme="0" tint="-0.249977111117893"/>
      </dataBar>
      <extLst>
        <ext xmlns:x14="http://schemas.microsoft.com/office/spreadsheetml/2009/9/main" uri="{B025F937-C7B1-47D3-B67F-A62EFF666E3E}">
          <x14:id>{66283EF3-664A-4C5C-AC03-697C52330225}</x14:id>
        </ext>
      </extLst>
    </cfRule>
  </conditionalFormatting>
  <conditionalFormatting sqref="D192">
    <cfRule type="dataBar" priority="157">
      <dataBar>
        <cfvo type="num" val="0"/>
        <cfvo type="num" val="1"/>
        <color theme="0" tint="-0.249977111117893"/>
      </dataBar>
      <extLst>
        <ext xmlns:x14="http://schemas.microsoft.com/office/spreadsheetml/2009/9/main" uri="{B025F937-C7B1-47D3-B67F-A62EFF666E3E}">
          <x14:id>{F106BE56-ABAE-43A9-8523-E4CD9BAD6200}</x14:id>
        </ext>
      </extLst>
    </cfRule>
  </conditionalFormatting>
  <conditionalFormatting sqref="D194">
    <cfRule type="dataBar" priority="156">
      <dataBar>
        <cfvo type="num" val="0"/>
        <cfvo type="num" val="1"/>
        <color theme="0" tint="-0.249977111117893"/>
      </dataBar>
      <extLst>
        <ext xmlns:x14="http://schemas.microsoft.com/office/spreadsheetml/2009/9/main" uri="{B025F937-C7B1-47D3-B67F-A62EFF666E3E}">
          <x14:id>{907C2458-B15C-4027-AD95-5BEFA8DB2E47}</x14:id>
        </ext>
      </extLst>
    </cfRule>
  </conditionalFormatting>
  <conditionalFormatting sqref="D190">
    <cfRule type="dataBar" priority="155">
      <dataBar>
        <cfvo type="num" val="0"/>
        <cfvo type="num" val="1"/>
        <color theme="0" tint="-0.249977111117893"/>
      </dataBar>
      <extLst>
        <ext xmlns:x14="http://schemas.microsoft.com/office/spreadsheetml/2009/9/main" uri="{B025F937-C7B1-47D3-B67F-A62EFF666E3E}">
          <x14:id>{F8514D57-03DD-4D62-841F-DD81340E9150}</x14:id>
        </ext>
      </extLst>
    </cfRule>
  </conditionalFormatting>
  <conditionalFormatting sqref="D191">
    <cfRule type="dataBar" priority="154">
      <dataBar>
        <cfvo type="num" val="0"/>
        <cfvo type="num" val="1"/>
        <color theme="0" tint="-0.249977111117893"/>
      </dataBar>
      <extLst>
        <ext xmlns:x14="http://schemas.microsoft.com/office/spreadsheetml/2009/9/main" uri="{B025F937-C7B1-47D3-B67F-A62EFF666E3E}">
          <x14:id>{CA2CB4D5-447B-493C-834E-36EC649B2126}</x14:id>
        </ext>
      </extLst>
    </cfRule>
  </conditionalFormatting>
  <conditionalFormatting sqref="D195">
    <cfRule type="dataBar" priority="153">
      <dataBar>
        <cfvo type="num" val="0"/>
        <cfvo type="num" val="1"/>
        <color theme="0" tint="-0.249977111117893"/>
      </dataBar>
      <extLst>
        <ext xmlns:x14="http://schemas.microsoft.com/office/spreadsheetml/2009/9/main" uri="{B025F937-C7B1-47D3-B67F-A62EFF666E3E}">
          <x14:id>{9AB855B4-4B4F-45E4-A122-1C9F8BC34764}</x14:id>
        </ext>
      </extLst>
    </cfRule>
  </conditionalFormatting>
  <conditionalFormatting sqref="D197">
    <cfRule type="dataBar" priority="152">
      <dataBar>
        <cfvo type="num" val="0"/>
        <cfvo type="num" val="1"/>
        <color theme="0" tint="-0.249977111117893"/>
      </dataBar>
      <extLst>
        <ext xmlns:x14="http://schemas.microsoft.com/office/spreadsheetml/2009/9/main" uri="{B025F937-C7B1-47D3-B67F-A62EFF666E3E}">
          <x14:id>{07BE8FF3-F8C5-4EED-AE55-803873F2A93B}</x14:id>
        </ext>
      </extLst>
    </cfRule>
  </conditionalFormatting>
  <conditionalFormatting sqref="D196">
    <cfRule type="dataBar" priority="151">
      <dataBar>
        <cfvo type="num" val="0"/>
        <cfvo type="num" val="1"/>
        <color theme="0" tint="-0.249977111117893"/>
      </dataBar>
      <extLst>
        <ext xmlns:x14="http://schemas.microsoft.com/office/spreadsheetml/2009/9/main" uri="{B025F937-C7B1-47D3-B67F-A62EFF666E3E}">
          <x14:id>{5E275FEC-8B5F-45E3-BC2B-C8EF0C457420}</x14:id>
        </ext>
      </extLst>
    </cfRule>
  </conditionalFormatting>
  <conditionalFormatting sqref="D198">
    <cfRule type="dataBar" priority="150">
      <dataBar>
        <cfvo type="num" val="0"/>
        <cfvo type="num" val="1"/>
        <color theme="0" tint="-0.249977111117893"/>
      </dataBar>
      <extLst>
        <ext xmlns:x14="http://schemas.microsoft.com/office/spreadsheetml/2009/9/main" uri="{B025F937-C7B1-47D3-B67F-A62EFF666E3E}">
          <x14:id>{A1835A3E-D4D4-4DC7-8C78-1EA96F0F129B}</x14:id>
        </ext>
      </extLst>
    </cfRule>
  </conditionalFormatting>
  <conditionalFormatting sqref="D199">
    <cfRule type="dataBar" priority="149">
      <dataBar>
        <cfvo type="num" val="0"/>
        <cfvo type="num" val="1"/>
        <color theme="0" tint="-0.249977111117893"/>
      </dataBar>
      <extLst>
        <ext xmlns:x14="http://schemas.microsoft.com/office/spreadsheetml/2009/9/main" uri="{B025F937-C7B1-47D3-B67F-A62EFF666E3E}">
          <x14:id>{B5FAC15B-D14C-4F25-A029-C371F9870ED4}</x14:id>
        </ext>
      </extLst>
    </cfRule>
  </conditionalFormatting>
  <conditionalFormatting sqref="D201">
    <cfRule type="dataBar" priority="147">
      <dataBar>
        <cfvo type="num" val="0"/>
        <cfvo type="num" val="1"/>
        <color theme="0" tint="-0.249977111117893"/>
      </dataBar>
      <extLst>
        <ext xmlns:x14="http://schemas.microsoft.com/office/spreadsheetml/2009/9/main" uri="{B025F937-C7B1-47D3-B67F-A62EFF666E3E}">
          <x14:id>{2DFA4945-F17E-441C-A945-A6B57BC6B268}</x14:id>
        </ext>
      </extLst>
    </cfRule>
  </conditionalFormatting>
  <conditionalFormatting sqref="D200">
    <cfRule type="dataBar" priority="146">
      <dataBar>
        <cfvo type="num" val="0"/>
        <cfvo type="num" val="1"/>
        <color theme="0" tint="-0.249977111117893"/>
      </dataBar>
      <extLst>
        <ext xmlns:x14="http://schemas.microsoft.com/office/spreadsheetml/2009/9/main" uri="{B025F937-C7B1-47D3-B67F-A62EFF666E3E}">
          <x14:id>{2381103D-56AA-4D87-B479-0CA52B006399}</x14:id>
        </ext>
      </extLst>
    </cfRule>
  </conditionalFormatting>
  <conditionalFormatting sqref="D202">
    <cfRule type="dataBar" priority="145">
      <dataBar>
        <cfvo type="num" val="0"/>
        <cfvo type="num" val="1"/>
        <color theme="0" tint="-0.249977111117893"/>
      </dataBar>
      <extLst>
        <ext xmlns:x14="http://schemas.microsoft.com/office/spreadsheetml/2009/9/main" uri="{B025F937-C7B1-47D3-B67F-A62EFF666E3E}">
          <x14:id>{CD88E94A-7326-4D28-BA09-38C7525F1B75}</x14:id>
        </ext>
      </extLst>
    </cfRule>
  </conditionalFormatting>
  <conditionalFormatting sqref="D203">
    <cfRule type="dataBar" priority="143">
      <dataBar>
        <cfvo type="num" val="0"/>
        <cfvo type="num" val="1"/>
        <color theme="0" tint="-0.249977111117893"/>
      </dataBar>
      <extLst>
        <ext xmlns:x14="http://schemas.microsoft.com/office/spreadsheetml/2009/9/main" uri="{B025F937-C7B1-47D3-B67F-A62EFF666E3E}">
          <x14:id>{A8633410-5827-4ADC-B53B-824A329C5368}</x14:id>
        </ext>
      </extLst>
    </cfRule>
  </conditionalFormatting>
  <conditionalFormatting sqref="D205">
    <cfRule type="dataBar" priority="142">
      <dataBar>
        <cfvo type="num" val="0"/>
        <cfvo type="num" val="1"/>
        <color theme="0" tint="-0.249977111117893"/>
      </dataBar>
      <extLst>
        <ext xmlns:x14="http://schemas.microsoft.com/office/spreadsheetml/2009/9/main" uri="{B025F937-C7B1-47D3-B67F-A62EFF666E3E}">
          <x14:id>{B265C14D-A318-4BE4-BD21-EA4D20F33CE3}</x14:id>
        </ext>
      </extLst>
    </cfRule>
  </conditionalFormatting>
  <conditionalFormatting sqref="D204">
    <cfRule type="dataBar" priority="141">
      <dataBar>
        <cfvo type="num" val="0"/>
        <cfvo type="num" val="1"/>
        <color theme="0" tint="-0.249977111117893"/>
      </dataBar>
      <extLst>
        <ext xmlns:x14="http://schemas.microsoft.com/office/spreadsheetml/2009/9/main" uri="{B025F937-C7B1-47D3-B67F-A62EFF666E3E}">
          <x14:id>{0975E921-014A-4260-B42B-4AC37DC2BE82}</x14:id>
        </ext>
      </extLst>
    </cfRule>
  </conditionalFormatting>
  <conditionalFormatting sqref="D206">
    <cfRule type="dataBar" priority="140">
      <dataBar>
        <cfvo type="num" val="0"/>
        <cfvo type="num" val="1"/>
        <color theme="0" tint="-0.249977111117893"/>
      </dataBar>
      <extLst>
        <ext xmlns:x14="http://schemas.microsoft.com/office/spreadsheetml/2009/9/main" uri="{B025F937-C7B1-47D3-B67F-A62EFF666E3E}">
          <x14:id>{3AE256E1-8681-4938-8E60-EFC3840A9B14}</x14:id>
        </ext>
      </extLst>
    </cfRule>
  </conditionalFormatting>
  <conditionalFormatting sqref="D207">
    <cfRule type="dataBar" priority="139">
      <dataBar>
        <cfvo type="num" val="0"/>
        <cfvo type="num" val="1"/>
        <color theme="0" tint="-0.249977111117893"/>
      </dataBar>
      <extLst>
        <ext xmlns:x14="http://schemas.microsoft.com/office/spreadsheetml/2009/9/main" uri="{B025F937-C7B1-47D3-B67F-A62EFF666E3E}">
          <x14:id>{BC5894B2-4698-4B55-8AC1-9F871414161D}</x14:id>
        </ext>
      </extLst>
    </cfRule>
  </conditionalFormatting>
  <conditionalFormatting sqref="D209">
    <cfRule type="dataBar" priority="138">
      <dataBar>
        <cfvo type="num" val="0"/>
        <cfvo type="num" val="1"/>
        <color theme="0" tint="-0.249977111117893"/>
      </dataBar>
      <extLst>
        <ext xmlns:x14="http://schemas.microsoft.com/office/spreadsheetml/2009/9/main" uri="{B025F937-C7B1-47D3-B67F-A62EFF666E3E}">
          <x14:id>{393D40EF-830E-480E-BFFE-2B8D19E86919}</x14:id>
        </ext>
      </extLst>
    </cfRule>
  </conditionalFormatting>
  <conditionalFormatting sqref="D208">
    <cfRule type="dataBar" priority="137">
      <dataBar>
        <cfvo type="num" val="0"/>
        <cfvo type="num" val="1"/>
        <color theme="0" tint="-0.249977111117893"/>
      </dataBar>
      <extLst>
        <ext xmlns:x14="http://schemas.microsoft.com/office/spreadsheetml/2009/9/main" uri="{B025F937-C7B1-47D3-B67F-A62EFF666E3E}">
          <x14:id>{5B2805D5-4872-4E28-8957-96033D188E3E}</x14:id>
        </ext>
      </extLst>
    </cfRule>
  </conditionalFormatting>
  <conditionalFormatting sqref="D210">
    <cfRule type="dataBar" priority="136">
      <dataBar>
        <cfvo type="num" val="0"/>
        <cfvo type="num" val="1"/>
        <color theme="0" tint="-0.249977111117893"/>
      </dataBar>
      <extLst>
        <ext xmlns:x14="http://schemas.microsoft.com/office/spreadsheetml/2009/9/main" uri="{B025F937-C7B1-47D3-B67F-A62EFF666E3E}">
          <x14:id>{7C876D5B-C26F-4996-B8AC-8830BC658732}</x14:id>
        </ext>
      </extLst>
    </cfRule>
  </conditionalFormatting>
  <conditionalFormatting sqref="D211">
    <cfRule type="dataBar" priority="135">
      <dataBar>
        <cfvo type="num" val="0"/>
        <cfvo type="num" val="1"/>
        <color theme="0" tint="-0.249977111117893"/>
      </dataBar>
      <extLst>
        <ext xmlns:x14="http://schemas.microsoft.com/office/spreadsheetml/2009/9/main" uri="{B025F937-C7B1-47D3-B67F-A62EFF666E3E}">
          <x14:id>{F6A1F65E-6919-4D7A-9C5A-BE3871F9C96D}</x14:id>
        </ext>
      </extLst>
    </cfRule>
  </conditionalFormatting>
  <conditionalFormatting sqref="D213">
    <cfRule type="dataBar" priority="134">
      <dataBar>
        <cfvo type="num" val="0"/>
        <cfvo type="num" val="1"/>
        <color theme="0" tint="-0.249977111117893"/>
      </dataBar>
      <extLst>
        <ext xmlns:x14="http://schemas.microsoft.com/office/spreadsheetml/2009/9/main" uri="{B025F937-C7B1-47D3-B67F-A62EFF666E3E}">
          <x14:id>{96A2C161-B3CB-49C9-933F-30C180B16EDA}</x14:id>
        </ext>
      </extLst>
    </cfRule>
  </conditionalFormatting>
  <conditionalFormatting sqref="D212">
    <cfRule type="dataBar" priority="133">
      <dataBar>
        <cfvo type="num" val="0"/>
        <cfvo type="num" val="1"/>
        <color theme="0" tint="-0.249977111117893"/>
      </dataBar>
      <extLst>
        <ext xmlns:x14="http://schemas.microsoft.com/office/spreadsheetml/2009/9/main" uri="{B025F937-C7B1-47D3-B67F-A62EFF666E3E}">
          <x14:id>{95DBE63F-5F64-4A91-A75B-5F8E0984460B}</x14:id>
        </ext>
      </extLst>
    </cfRule>
  </conditionalFormatting>
  <conditionalFormatting sqref="D214">
    <cfRule type="dataBar" priority="132">
      <dataBar>
        <cfvo type="num" val="0"/>
        <cfvo type="num" val="1"/>
        <color theme="0" tint="-0.249977111117893"/>
      </dataBar>
      <extLst>
        <ext xmlns:x14="http://schemas.microsoft.com/office/spreadsheetml/2009/9/main" uri="{B025F937-C7B1-47D3-B67F-A62EFF666E3E}">
          <x14:id>{423E493E-0BA4-4815-A235-703C434F500B}</x14:id>
        </ext>
      </extLst>
    </cfRule>
  </conditionalFormatting>
  <conditionalFormatting sqref="D216">
    <cfRule type="dataBar" priority="127">
      <dataBar>
        <cfvo type="num" val="0"/>
        <cfvo type="num" val="1"/>
        <color theme="0" tint="-0.249977111117893"/>
      </dataBar>
      <extLst>
        <ext xmlns:x14="http://schemas.microsoft.com/office/spreadsheetml/2009/9/main" uri="{B025F937-C7B1-47D3-B67F-A62EFF666E3E}">
          <x14:id>{E426BA98-C923-4606-BE56-D9CA853B3DF3}</x14:id>
        </ext>
      </extLst>
    </cfRule>
  </conditionalFormatting>
  <conditionalFormatting sqref="D215">
    <cfRule type="dataBar" priority="126">
      <dataBar>
        <cfvo type="num" val="0"/>
        <cfvo type="num" val="1"/>
        <color theme="0" tint="-0.249977111117893"/>
      </dataBar>
      <extLst>
        <ext xmlns:x14="http://schemas.microsoft.com/office/spreadsheetml/2009/9/main" uri="{B025F937-C7B1-47D3-B67F-A62EFF666E3E}">
          <x14:id>{D360F248-01A1-4858-9C43-63B92ADD3903}</x14:id>
        </ext>
      </extLst>
    </cfRule>
  </conditionalFormatting>
  <conditionalFormatting sqref="D217">
    <cfRule type="dataBar" priority="125">
      <dataBar>
        <cfvo type="num" val="0"/>
        <cfvo type="num" val="1"/>
        <color theme="0" tint="-0.249977111117893"/>
      </dataBar>
      <extLst>
        <ext xmlns:x14="http://schemas.microsoft.com/office/spreadsheetml/2009/9/main" uri="{B025F937-C7B1-47D3-B67F-A62EFF666E3E}">
          <x14:id>{CDEAD854-A43D-4BF3-A0A4-F84DB28B9555}</x14:id>
        </ext>
      </extLst>
    </cfRule>
  </conditionalFormatting>
  <conditionalFormatting sqref="D219">
    <cfRule type="dataBar" priority="124">
      <dataBar>
        <cfvo type="num" val="0"/>
        <cfvo type="num" val="1"/>
        <color theme="0" tint="-0.249977111117893"/>
      </dataBar>
      <extLst>
        <ext xmlns:x14="http://schemas.microsoft.com/office/spreadsheetml/2009/9/main" uri="{B025F937-C7B1-47D3-B67F-A62EFF666E3E}">
          <x14:id>{D27CF016-A982-48F7-8C21-2A0B40BE4091}</x14:id>
        </ext>
      </extLst>
    </cfRule>
  </conditionalFormatting>
  <conditionalFormatting sqref="D218">
    <cfRule type="dataBar" priority="123">
      <dataBar>
        <cfvo type="num" val="0"/>
        <cfvo type="num" val="1"/>
        <color theme="0" tint="-0.249977111117893"/>
      </dataBar>
      <extLst>
        <ext xmlns:x14="http://schemas.microsoft.com/office/spreadsheetml/2009/9/main" uri="{B025F937-C7B1-47D3-B67F-A62EFF666E3E}">
          <x14:id>{8E07DEE4-A81C-4FDD-B91D-888B0112DA7A}</x14:id>
        </ext>
      </extLst>
    </cfRule>
  </conditionalFormatting>
  <conditionalFormatting sqref="D220">
    <cfRule type="dataBar" priority="122">
      <dataBar>
        <cfvo type="num" val="0"/>
        <cfvo type="num" val="1"/>
        <color theme="0" tint="-0.249977111117893"/>
      </dataBar>
      <extLst>
        <ext xmlns:x14="http://schemas.microsoft.com/office/spreadsheetml/2009/9/main" uri="{B025F937-C7B1-47D3-B67F-A62EFF666E3E}">
          <x14:id>{0389C43F-2D25-496E-904A-69435C7BE24F}</x14:id>
        </ext>
      </extLst>
    </cfRule>
  </conditionalFormatting>
  <conditionalFormatting sqref="D222">
    <cfRule type="dataBar" priority="121">
      <dataBar>
        <cfvo type="num" val="0"/>
        <cfvo type="num" val="1"/>
        <color theme="0" tint="-0.249977111117893"/>
      </dataBar>
      <extLst>
        <ext xmlns:x14="http://schemas.microsoft.com/office/spreadsheetml/2009/9/main" uri="{B025F937-C7B1-47D3-B67F-A62EFF666E3E}">
          <x14:id>{B53BE1F1-6B56-4672-B602-7F02A3EC780D}</x14:id>
        </ext>
      </extLst>
    </cfRule>
  </conditionalFormatting>
  <conditionalFormatting sqref="D221">
    <cfRule type="dataBar" priority="120">
      <dataBar>
        <cfvo type="num" val="0"/>
        <cfvo type="num" val="1"/>
        <color theme="0" tint="-0.249977111117893"/>
      </dataBar>
      <extLst>
        <ext xmlns:x14="http://schemas.microsoft.com/office/spreadsheetml/2009/9/main" uri="{B025F937-C7B1-47D3-B67F-A62EFF666E3E}">
          <x14:id>{A51F33E6-4083-48DF-8E61-0D836CDA5395}</x14:id>
        </ext>
      </extLst>
    </cfRule>
  </conditionalFormatting>
  <conditionalFormatting sqref="D223">
    <cfRule type="dataBar" priority="119">
      <dataBar>
        <cfvo type="num" val="0"/>
        <cfvo type="num" val="1"/>
        <color theme="0" tint="-0.249977111117893"/>
      </dataBar>
      <extLst>
        <ext xmlns:x14="http://schemas.microsoft.com/office/spreadsheetml/2009/9/main" uri="{B025F937-C7B1-47D3-B67F-A62EFF666E3E}">
          <x14:id>{81A0C471-9B74-4AE3-94D1-54250C4FEB25}</x14:id>
        </ext>
      </extLst>
    </cfRule>
  </conditionalFormatting>
  <conditionalFormatting sqref="D225">
    <cfRule type="dataBar" priority="118">
      <dataBar>
        <cfvo type="num" val="0"/>
        <cfvo type="num" val="1"/>
        <color theme="0" tint="-0.249977111117893"/>
      </dataBar>
      <extLst>
        <ext xmlns:x14="http://schemas.microsoft.com/office/spreadsheetml/2009/9/main" uri="{B025F937-C7B1-47D3-B67F-A62EFF666E3E}">
          <x14:id>{E0C14D7C-5A32-4F53-ABF9-9DCA1B837A42}</x14:id>
        </ext>
      </extLst>
    </cfRule>
  </conditionalFormatting>
  <conditionalFormatting sqref="D224">
    <cfRule type="dataBar" priority="117">
      <dataBar>
        <cfvo type="num" val="0"/>
        <cfvo type="num" val="1"/>
        <color theme="0" tint="-0.249977111117893"/>
      </dataBar>
      <extLst>
        <ext xmlns:x14="http://schemas.microsoft.com/office/spreadsheetml/2009/9/main" uri="{B025F937-C7B1-47D3-B67F-A62EFF666E3E}">
          <x14:id>{063407D0-1629-451B-93ED-6CABCE5A483C}</x14:id>
        </ext>
      </extLst>
    </cfRule>
  </conditionalFormatting>
  <conditionalFormatting sqref="D226">
    <cfRule type="dataBar" priority="116">
      <dataBar>
        <cfvo type="num" val="0"/>
        <cfvo type="num" val="1"/>
        <color theme="0" tint="-0.249977111117893"/>
      </dataBar>
      <extLst>
        <ext xmlns:x14="http://schemas.microsoft.com/office/spreadsheetml/2009/9/main" uri="{B025F937-C7B1-47D3-B67F-A62EFF666E3E}">
          <x14:id>{A7D6BBE5-9F72-4E65-ABE7-C567DA0F4B04}</x14:id>
        </ext>
      </extLst>
    </cfRule>
  </conditionalFormatting>
  <conditionalFormatting sqref="D231">
    <cfRule type="dataBar" priority="115">
      <dataBar>
        <cfvo type="num" val="0"/>
        <cfvo type="num" val="1"/>
        <color theme="0" tint="-0.249977111117893"/>
      </dataBar>
      <extLst>
        <ext xmlns:x14="http://schemas.microsoft.com/office/spreadsheetml/2009/9/main" uri="{B025F937-C7B1-47D3-B67F-A62EFF666E3E}">
          <x14:id>{415C21F2-5059-49C1-BA8D-473DFA29EE51}</x14:id>
        </ext>
      </extLst>
    </cfRule>
  </conditionalFormatting>
  <conditionalFormatting sqref="D230">
    <cfRule type="dataBar" priority="114">
      <dataBar>
        <cfvo type="num" val="0"/>
        <cfvo type="num" val="1"/>
        <color theme="0" tint="-0.249977111117893"/>
      </dataBar>
      <extLst>
        <ext xmlns:x14="http://schemas.microsoft.com/office/spreadsheetml/2009/9/main" uri="{B025F937-C7B1-47D3-B67F-A62EFF666E3E}">
          <x14:id>{721B2E3E-5BCA-4806-885E-03786114058A}</x14:id>
        </ext>
      </extLst>
    </cfRule>
  </conditionalFormatting>
  <conditionalFormatting sqref="D232">
    <cfRule type="dataBar" priority="113">
      <dataBar>
        <cfvo type="num" val="0"/>
        <cfvo type="num" val="1"/>
        <color theme="0" tint="-0.249977111117893"/>
      </dataBar>
      <extLst>
        <ext xmlns:x14="http://schemas.microsoft.com/office/spreadsheetml/2009/9/main" uri="{B025F937-C7B1-47D3-B67F-A62EFF666E3E}">
          <x14:id>{3A518903-A3DE-4A9A-A7A7-03C684D56BBA}</x14:id>
        </ext>
      </extLst>
    </cfRule>
  </conditionalFormatting>
  <conditionalFormatting sqref="D234">
    <cfRule type="dataBar" priority="112">
      <dataBar>
        <cfvo type="num" val="0"/>
        <cfvo type="num" val="1"/>
        <color theme="0" tint="-0.249977111117893"/>
      </dataBar>
      <extLst>
        <ext xmlns:x14="http://schemas.microsoft.com/office/spreadsheetml/2009/9/main" uri="{B025F937-C7B1-47D3-B67F-A62EFF666E3E}">
          <x14:id>{B69ACDBE-700D-4AEC-837C-1B7411F4632B}</x14:id>
        </ext>
      </extLst>
    </cfRule>
  </conditionalFormatting>
  <conditionalFormatting sqref="D233">
    <cfRule type="dataBar" priority="111">
      <dataBar>
        <cfvo type="num" val="0"/>
        <cfvo type="num" val="1"/>
        <color theme="0" tint="-0.249977111117893"/>
      </dataBar>
      <extLst>
        <ext xmlns:x14="http://schemas.microsoft.com/office/spreadsheetml/2009/9/main" uri="{B025F937-C7B1-47D3-B67F-A62EFF666E3E}">
          <x14:id>{DE5567E8-CB66-4038-BA2B-D169AAAD83F8}</x14:id>
        </ext>
      </extLst>
    </cfRule>
  </conditionalFormatting>
  <conditionalFormatting sqref="D235">
    <cfRule type="dataBar" priority="110">
      <dataBar>
        <cfvo type="num" val="0"/>
        <cfvo type="num" val="1"/>
        <color theme="0" tint="-0.249977111117893"/>
      </dataBar>
      <extLst>
        <ext xmlns:x14="http://schemas.microsoft.com/office/spreadsheetml/2009/9/main" uri="{B025F937-C7B1-47D3-B67F-A62EFF666E3E}">
          <x14:id>{F6D40B49-A534-497A-B0CC-F2B0B218040F}</x14:id>
        </ext>
      </extLst>
    </cfRule>
  </conditionalFormatting>
  <conditionalFormatting sqref="D237">
    <cfRule type="dataBar" priority="109">
      <dataBar>
        <cfvo type="num" val="0"/>
        <cfvo type="num" val="1"/>
        <color theme="0" tint="-0.249977111117893"/>
      </dataBar>
      <extLst>
        <ext xmlns:x14="http://schemas.microsoft.com/office/spreadsheetml/2009/9/main" uri="{B025F937-C7B1-47D3-B67F-A62EFF666E3E}">
          <x14:id>{557DBBF0-D027-47D8-98DB-8A7407856B9B}</x14:id>
        </ext>
      </extLst>
    </cfRule>
  </conditionalFormatting>
  <conditionalFormatting sqref="D236">
    <cfRule type="dataBar" priority="108">
      <dataBar>
        <cfvo type="num" val="0"/>
        <cfvo type="num" val="1"/>
        <color theme="0" tint="-0.249977111117893"/>
      </dataBar>
      <extLst>
        <ext xmlns:x14="http://schemas.microsoft.com/office/spreadsheetml/2009/9/main" uri="{B025F937-C7B1-47D3-B67F-A62EFF666E3E}">
          <x14:id>{F1CD845A-BB07-4210-83B3-919F55B2838B}</x14:id>
        </ext>
      </extLst>
    </cfRule>
  </conditionalFormatting>
  <conditionalFormatting sqref="D238">
    <cfRule type="dataBar" priority="107">
      <dataBar>
        <cfvo type="num" val="0"/>
        <cfvo type="num" val="1"/>
        <color theme="0" tint="-0.249977111117893"/>
      </dataBar>
      <extLst>
        <ext xmlns:x14="http://schemas.microsoft.com/office/spreadsheetml/2009/9/main" uri="{B025F937-C7B1-47D3-B67F-A62EFF666E3E}">
          <x14:id>{67B0E7F8-CD84-42A9-A3B8-B94FEA79FDBC}</x14:id>
        </ext>
      </extLst>
    </cfRule>
  </conditionalFormatting>
  <conditionalFormatting sqref="D240">
    <cfRule type="dataBar" priority="106">
      <dataBar>
        <cfvo type="num" val="0"/>
        <cfvo type="num" val="1"/>
        <color theme="0" tint="-0.249977111117893"/>
      </dataBar>
      <extLst>
        <ext xmlns:x14="http://schemas.microsoft.com/office/spreadsheetml/2009/9/main" uri="{B025F937-C7B1-47D3-B67F-A62EFF666E3E}">
          <x14:id>{C17C5A26-57DC-43AB-908A-CD4B3E171EB3}</x14:id>
        </ext>
      </extLst>
    </cfRule>
  </conditionalFormatting>
  <conditionalFormatting sqref="D239">
    <cfRule type="dataBar" priority="105">
      <dataBar>
        <cfvo type="num" val="0"/>
        <cfvo type="num" val="1"/>
        <color theme="0" tint="-0.249977111117893"/>
      </dataBar>
      <extLst>
        <ext xmlns:x14="http://schemas.microsoft.com/office/spreadsheetml/2009/9/main" uri="{B025F937-C7B1-47D3-B67F-A62EFF666E3E}">
          <x14:id>{D873A296-C12A-4ED7-BAC3-EDE75235B4CA}</x14:id>
        </ext>
      </extLst>
    </cfRule>
  </conditionalFormatting>
  <conditionalFormatting sqref="D241">
    <cfRule type="dataBar" priority="104">
      <dataBar>
        <cfvo type="num" val="0"/>
        <cfvo type="num" val="1"/>
        <color theme="0" tint="-0.249977111117893"/>
      </dataBar>
      <extLst>
        <ext xmlns:x14="http://schemas.microsoft.com/office/spreadsheetml/2009/9/main" uri="{B025F937-C7B1-47D3-B67F-A62EFF666E3E}">
          <x14:id>{63A45EEB-24CC-4C70-BA73-6197219A7E7F}</x14:id>
        </ext>
      </extLst>
    </cfRule>
  </conditionalFormatting>
  <conditionalFormatting sqref="D243">
    <cfRule type="dataBar" priority="103">
      <dataBar>
        <cfvo type="num" val="0"/>
        <cfvo type="num" val="1"/>
        <color theme="0" tint="-0.249977111117893"/>
      </dataBar>
      <extLst>
        <ext xmlns:x14="http://schemas.microsoft.com/office/spreadsheetml/2009/9/main" uri="{B025F937-C7B1-47D3-B67F-A62EFF666E3E}">
          <x14:id>{093EA524-A93B-41E7-8F32-FEC3C8BCDA0E}</x14:id>
        </ext>
      </extLst>
    </cfRule>
  </conditionalFormatting>
  <conditionalFormatting sqref="D242">
    <cfRule type="dataBar" priority="102">
      <dataBar>
        <cfvo type="num" val="0"/>
        <cfvo type="num" val="1"/>
        <color theme="0" tint="-0.249977111117893"/>
      </dataBar>
      <extLst>
        <ext xmlns:x14="http://schemas.microsoft.com/office/spreadsheetml/2009/9/main" uri="{B025F937-C7B1-47D3-B67F-A62EFF666E3E}">
          <x14:id>{9817AF3F-1E5F-40E5-91A0-64D57DB97DD1}</x14:id>
        </ext>
      </extLst>
    </cfRule>
  </conditionalFormatting>
  <conditionalFormatting sqref="D244">
    <cfRule type="dataBar" priority="101">
      <dataBar>
        <cfvo type="num" val="0"/>
        <cfvo type="num" val="1"/>
        <color theme="0" tint="-0.249977111117893"/>
      </dataBar>
      <extLst>
        <ext xmlns:x14="http://schemas.microsoft.com/office/spreadsheetml/2009/9/main" uri="{B025F937-C7B1-47D3-B67F-A62EFF666E3E}">
          <x14:id>{81E3A1C8-ECC7-401E-A79B-89FE1274FFC3}</x14:id>
        </ext>
      </extLst>
    </cfRule>
  </conditionalFormatting>
  <conditionalFormatting sqref="D246">
    <cfRule type="dataBar" priority="100">
      <dataBar>
        <cfvo type="num" val="0"/>
        <cfvo type="num" val="1"/>
        <color theme="0" tint="-0.249977111117893"/>
      </dataBar>
      <extLst>
        <ext xmlns:x14="http://schemas.microsoft.com/office/spreadsheetml/2009/9/main" uri="{B025F937-C7B1-47D3-B67F-A62EFF666E3E}">
          <x14:id>{7E321A92-2582-4C0B-A9F9-3509E9DC4F79}</x14:id>
        </ext>
      </extLst>
    </cfRule>
  </conditionalFormatting>
  <conditionalFormatting sqref="D245">
    <cfRule type="dataBar" priority="99">
      <dataBar>
        <cfvo type="num" val="0"/>
        <cfvo type="num" val="1"/>
        <color theme="0" tint="-0.249977111117893"/>
      </dataBar>
      <extLst>
        <ext xmlns:x14="http://schemas.microsoft.com/office/spreadsheetml/2009/9/main" uri="{B025F937-C7B1-47D3-B67F-A62EFF666E3E}">
          <x14:id>{7AD55B82-BBE8-4AEA-A7F6-53C6F805677F}</x14:id>
        </ext>
      </extLst>
    </cfRule>
  </conditionalFormatting>
  <conditionalFormatting sqref="D247">
    <cfRule type="dataBar" priority="98">
      <dataBar>
        <cfvo type="num" val="0"/>
        <cfvo type="num" val="1"/>
        <color theme="0" tint="-0.249977111117893"/>
      </dataBar>
      <extLst>
        <ext xmlns:x14="http://schemas.microsoft.com/office/spreadsheetml/2009/9/main" uri="{B025F937-C7B1-47D3-B67F-A62EFF666E3E}">
          <x14:id>{05603C8E-F32A-4416-A667-271E3E598BC9}</x14:id>
        </ext>
      </extLst>
    </cfRule>
  </conditionalFormatting>
  <conditionalFormatting sqref="D248">
    <cfRule type="dataBar" priority="97">
      <dataBar>
        <cfvo type="num" val="0"/>
        <cfvo type="num" val="1"/>
        <color theme="0" tint="-0.249977111117893"/>
      </dataBar>
      <extLst>
        <ext xmlns:x14="http://schemas.microsoft.com/office/spreadsheetml/2009/9/main" uri="{B025F937-C7B1-47D3-B67F-A62EFF666E3E}">
          <x14:id>{35A03A4D-5C0F-4D17-9B82-2C1807F28736}</x14:id>
        </ext>
      </extLst>
    </cfRule>
  </conditionalFormatting>
  <conditionalFormatting sqref="D250">
    <cfRule type="dataBar" priority="96">
      <dataBar>
        <cfvo type="num" val="0"/>
        <cfvo type="num" val="1"/>
        <color theme="0" tint="-0.249977111117893"/>
      </dataBar>
      <extLst>
        <ext xmlns:x14="http://schemas.microsoft.com/office/spreadsheetml/2009/9/main" uri="{B025F937-C7B1-47D3-B67F-A62EFF666E3E}">
          <x14:id>{89F39A3E-FB75-4200-8E6C-13365469E824}</x14:id>
        </ext>
      </extLst>
    </cfRule>
  </conditionalFormatting>
  <conditionalFormatting sqref="D249">
    <cfRule type="dataBar" priority="95">
      <dataBar>
        <cfvo type="num" val="0"/>
        <cfvo type="num" val="1"/>
        <color theme="0" tint="-0.249977111117893"/>
      </dataBar>
      <extLst>
        <ext xmlns:x14="http://schemas.microsoft.com/office/spreadsheetml/2009/9/main" uri="{B025F937-C7B1-47D3-B67F-A62EFF666E3E}">
          <x14:id>{8236C168-07DA-473D-99E6-3A657EECE6D6}</x14:id>
        </ext>
      </extLst>
    </cfRule>
  </conditionalFormatting>
  <conditionalFormatting sqref="D148">
    <cfRule type="dataBar" priority="93">
      <dataBar>
        <cfvo type="num" val="0"/>
        <cfvo type="num" val="1"/>
        <color theme="0" tint="-0.249977111117893"/>
      </dataBar>
      <extLst>
        <ext xmlns:x14="http://schemas.microsoft.com/office/spreadsheetml/2009/9/main" uri="{B025F937-C7B1-47D3-B67F-A62EFF666E3E}">
          <x14:id>{C22BF216-B1F7-445B-8EFD-9E234C75FC26}</x14:id>
        </ext>
      </extLst>
    </cfRule>
  </conditionalFormatting>
  <conditionalFormatting sqref="D150">
    <cfRule type="dataBar" priority="92">
      <dataBar>
        <cfvo type="num" val="0"/>
        <cfvo type="num" val="1"/>
        <color theme="0" tint="-0.249977111117893"/>
      </dataBar>
      <extLst>
        <ext xmlns:x14="http://schemas.microsoft.com/office/spreadsheetml/2009/9/main" uri="{B025F937-C7B1-47D3-B67F-A62EFF666E3E}">
          <x14:id>{A3C73A2C-8F63-4150-9C06-9405C3E0D633}</x14:id>
        </ext>
      </extLst>
    </cfRule>
  </conditionalFormatting>
  <conditionalFormatting sqref="D149">
    <cfRule type="dataBar" priority="91">
      <dataBar>
        <cfvo type="num" val="0"/>
        <cfvo type="num" val="1"/>
        <color theme="0" tint="-0.249977111117893"/>
      </dataBar>
      <extLst>
        <ext xmlns:x14="http://schemas.microsoft.com/office/spreadsheetml/2009/9/main" uri="{B025F937-C7B1-47D3-B67F-A62EFF666E3E}">
          <x14:id>{F63552F5-153B-4D70-8C45-E2447D618B6E}</x14:id>
        </ext>
      </extLst>
    </cfRule>
  </conditionalFormatting>
  <conditionalFormatting sqref="D151">
    <cfRule type="dataBar" priority="90">
      <dataBar>
        <cfvo type="num" val="0"/>
        <cfvo type="num" val="1"/>
        <color theme="0" tint="-0.249977111117893"/>
      </dataBar>
      <extLst>
        <ext xmlns:x14="http://schemas.microsoft.com/office/spreadsheetml/2009/9/main" uri="{B025F937-C7B1-47D3-B67F-A62EFF666E3E}">
          <x14:id>{FB2CA98D-61CF-49DD-8E33-0B1174047629}</x14:id>
        </ext>
      </extLst>
    </cfRule>
  </conditionalFormatting>
  <conditionalFormatting sqref="D152">
    <cfRule type="dataBar" priority="89">
      <dataBar>
        <cfvo type="num" val="0"/>
        <cfvo type="num" val="1"/>
        <color theme="0" tint="-0.249977111117893"/>
      </dataBar>
      <extLst>
        <ext xmlns:x14="http://schemas.microsoft.com/office/spreadsheetml/2009/9/main" uri="{B025F937-C7B1-47D3-B67F-A62EFF666E3E}">
          <x14:id>{77CEF662-CC04-42DC-9750-1B2241CCB241}</x14:id>
        </ext>
      </extLst>
    </cfRule>
  </conditionalFormatting>
  <conditionalFormatting sqref="D156">
    <cfRule type="dataBar" priority="88">
      <dataBar>
        <cfvo type="num" val="0"/>
        <cfvo type="num" val="1"/>
        <color theme="0" tint="-0.249977111117893"/>
      </dataBar>
      <extLst>
        <ext xmlns:x14="http://schemas.microsoft.com/office/spreadsheetml/2009/9/main" uri="{B025F937-C7B1-47D3-B67F-A62EFF666E3E}">
          <x14:id>{B6B71966-F671-4649-A34D-3566F4DEE7E9}</x14:id>
        </ext>
      </extLst>
    </cfRule>
  </conditionalFormatting>
  <conditionalFormatting sqref="D155">
    <cfRule type="dataBar" priority="87">
      <dataBar>
        <cfvo type="num" val="0"/>
        <cfvo type="num" val="1"/>
        <color theme="0" tint="-0.249977111117893"/>
      </dataBar>
      <extLst>
        <ext xmlns:x14="http://schemas.microsoft.com/office/spreadsheetml/2009/9/main" uri="{B025F937-C7B1-47D3-B67F-A62EFF666E3E}">
          <x14:id>{6FA114EF-F743-4DDF-8319-5A6ADBC04028}</x14:id>
        </ext>
      </extLst>
    </cfRule>
  </conditionalFormatting>
  <conditionalFormatting sqref="D157">
    <cfRule type="dataBar" priority="86">
      <dataBar>
        <cfvo type="num" val="0"/>
        <cfvo type="num" val="1"/>
        <color theme="0" tint="-0.249977111117893"/>
      </dataBar>
      <extLst>
        <ext xmlns:x14="http://schemas.microsoft.com/office/spreadsheetml/2009/9/main" uri="{B025F937-C7B1-47D3-B67F-A62EFF666E3E}">
          <x14:id>{D7A08F8B-9727-47EC-9192-05D60EEB7A6D}</x14:id>
        </ext>
      </extLst>
    </cfRule>
  </conditionalFormatting>
  <conditionalFormatting sqref="D158">
    <cfRule type="dataBar" priority="85">
      <dataBar>
        <cfvo type="num" val="0"/>
        <cfvo type="num" val="1"/>
        <color theme="0" tint="-0.249977111117893"/>
      </dataBar>
      <extLst>
        <ext xmlns:x14="http://schemas.microsoft.com/office/spreadsheetml/2009/9/main" uri="{B025F937-C7B1-47D3-B67F-A62EFF666E3E}">
          <x14:id>{3F18F9E0-7BB3-40FD-B65B-6195BCECCB1F}</x14:id>
        </ext>
      </extLst>
    </cfRule>
  </conditionalFormatting>
  <conditionalFormatting sqref="D153">
    <cfRule type="dataBar" priority="84">
      <dataBar>
        <cfvo type="num" val="0"/>
        <cfvo type="num" val="1"/>
        <color theme="0" tint="-0.249977111117893"/>
      </dataBar>
      <extLst>
        <ext xmlns:x14="http://schemas.microsoft.com/office/spreadsheetml/2009/9/main" uri="{B025F937-C7B1-47D3-B67F-A62EFF666E3E}">
          <x14:id>{01EE4342-C55D-4A0A-848D-A35AC7DE1B79}</x14:id>
        </ext>
      </extLst>
    </cfRule>
  </conditionalFormatting>
  <conditionalFormatting sqref="D159">
    <cfRule type="dataBar" priority="83">
      <dataBar>
        <cfvo type="num" val="0"/>
        <cfvo type="num" val="1"/>
        <color theme="0" tint="-0.249977111117893"/>
      </dataBar>
      <extLst>
        <ext xmlns:x14="http://schemas.microsoft.com/office/spreadsheetml/2009/9/main" uri="{B025F937-C7B1-47D3-B67F-A62EFF666E3E}">
          <x14:id>{BA11624C-DA0C-4FF5-BB0D-93D490DB053D}</x14:id>
        </ext>
      </extLst>
    </cfRule>
  </conditionalFormatting>
  <conditionalFormatting sqref="D154">
    <cfRule type="dataBar" priority="82">
      <dataBar>
        <cfvo type="num" val="0"/>
        <cfvo type="num" val="1"/>
        <color theme="0" tint="-0.249977111117893"/>
      </dataBar>
      <extLst>
        <ext xmlns:x14="http://schemas.microsoft.com/office/spreadsheetml/2009/9/main" uri="{B025F937-C7B1-47D3-B67F-A62EFF666E3E}">
          <x14:id>{C5E0E114-7228-4E5F-B6C8-29C1BE043DAA}</x14:id>
        </ext>
      </extLst>
    </cfRule>
  </conditionalFormatting>
  <conditionalFormatting sqref="D160">
    <cfRule type="dataBar" priority="81">
      <dataBar>
        <cfvo type="num" val="0"/>
        <cfvo type="num" val="1"/>
        <color theme="0" tint="-0.249977111117893"/>
      </dataBar>
      <extLst>
        <ext xmlns:x14="http://schemas.microsoft.com/office/spreadsheetml/2009/9/main" uri="{B025F937-C7B1-47D3-B67F-A62EFF666E3E}">
          <x14:id>{3E3EA41F-0C19-43BD-8414-21CF841E88B2}</x14:id>
        </ext>
      </extLst>
    </cfRule>
  </conditionalFormatting>
  <conditionalFormatting sqref="D162">
    <cfRule type="dataBar" priority="80">
      <dataBar>
        <cfvo type="num" val="0"/>
        <cfvo type="num" val="1"/>
        <color theme="0" tint="-0.249977111117893"/>
      </dataBar>
      <extLst>
        <ext xmlns:x14="http://schemas.microsoft.com/office/spreadsheetml/2009/9/main" uri="{B025F937-C7B1-47D3-B67F-A62EFF666E3E}">
          <x14:id>{42CC71CE-A3D1-4168-9AF4-15EB00108095}</x14:id>
        </ext>
      </extLst>
    </cfRule>
  </conditionalFormatting>
  <conditionalFormatting sqref="D161">
    <cfRule type="dataBar" priority="79">
      <dataBar>
        <cfvo type="num" val="0"/>
        <cfvo type="num" val="1"/>
        <color theme="0" tint="-0.249977111117893"/>
      </dataBar>
      <extLst>
        <ext xmlns:x14="http://schemas.microsoft.com/office/spreadsheetml/2009/9/main" uri="{B025F937-C7B1-47D3-B67F-A62EFF666E3E}">
          <x14:id>{5BBA960D-B0F2-46B8-BE2F-A9EA455EDBD6}</x14:id>
        </ext>
      </extLst>
    </cfRule>
  </conditionalFormatting>
  <conditionalFormatting sqref="D163">
    <cfRule type="dataBar" priority="78">
      <dataBar>
        <cfvo type="num" val="0"/>
        <cfvo type="num" val="1"/>
        <color theme="0" tint="-0.249977111117893"/>
      </dataBar>
      <extLst>
        <ext xmlns:x14="http://schemas.microsoft.com/office/spreadsheetml/2009/9/main" uri="{B025F937-C7B1-47D3-B67F-A62EFF666E3E}">
          <x14:id>{3972B8CB-3CD6-4DD5-B042-D8644CBD22D7}</x14:id>
        </ext>
      </extLst>
    </cfRule>
  </conditionalFormatting>
  <conditionalFormatting sqref="D164">
    <cfRule type="dataBar" priority="77">
      <dataBar>
        <cfvo type="num" val="0"/>
        <cfvo type="num" val="1"/>
        <color theme="0" tint="-0.249977111117893"/>
      </dataBar>
      <extLst>
        <ext xmlns:x14="http://schemas.microsoft.com/office/spreadsheetml/2009/9/main" uri="{B025F937-C7B1-47D3-B67F-A62EFF666E3E}">
          <x14:id>{8A74B307-E859-492E-98F7-1602E133A620}</x14:id>
        </ext>
      </extLst>
    </cfRule>
  </conditionalFormatting>
  <conditionalFormatting sqref="D165">
    <cfRule type="dataBar" priority="76">
      <dataBar>
        <cfvo type="num" val="0"/>
        <cfvo type="num" val="1"/>
        <color theme="0" tint="-0.249977111117893"/>
      </dataBar>
      <extLst>
        <ext xmlns:x14="http://schemas.microsoft.com/office/spreadsheetml/2009/9/main" uri="{B025F937-C7B1-47D3-B67F-A62EFF666E3E}">
          <x14:id>{C2830731-C2F8-409A-8F8A-35D838AC8FD6}</x14:id>
        </ext>
      </extLst>
    </cfRule>
  </conditionalFormatting>
  <conditionalFormatting sqref="D166">
    <cfRule type="dataBar" priority="75">
      <dataBar>
        <cfvo type="num" val="0"/>
        <cfvo type="num" val="1"/>
        <color theme="0" tint="-0.249977111117893"/>
      </dataBar>
      <extLst>
        <ext xmlns:x14="http://schemas.microsoft.com/office/spreadsheetml/2009/9/main" uri="{B025F937-C7B1-47D3-B67F-A62EFF666E3E}">
          <x14:id>{B75399C5-2860-4461-A7D6-525489DB59AF}</x14:id>
        </ext>
      </extLst>
    </cfRule>
  </conditionalFormatting>
  <conditionalFormatting sqref="D168">
    <cfRule type="dataBar" priority="74">
      <dataBar>
        <cfvo type="num" val="0"/>
        <cfvo type="num" val="1"/>
        <color theme="0" tint="-0.249977111117893"/>
      </dataBar>
      <extLst>
        <ext xmlns:x14="http://schemas.microsoft.com/office/spreadsheetml/2009/9/main" uri="{B025F937-C7B1-47D3-B67F-A62EFF666E3E}">
          <x14:id>{C7D4469A-DBA4-4C52-84E6-64C5162084A1}</x14:id>
        </ext>
      </extLst>
    </cfRule>
  </conditionalFormatting>
  <conditionalFormatting sqref="D167">
    <cfRule type="dataBar" priority="73">
      <dataBar>
        <cfvo type="num" val="0"/>
        <cfvo type="num" val="1"/>
        <color theme="0" tint="-0.249977111117893"/>
      </dataBar>
      <extLst>
        <ext xmlns:x14="http://schemas.microsoft.com/office/spreadsheetml/2009/9/main" uri="{B025F937-C7B1-47D3-B67F-A62EFF666E3E}">
          <x14:id>{985F9EAE-0E86-45D2-8CA6-3FCAA02690F2}</x14:id>
        </ext>
      </extLst>
    </cfRule>
  </conditionalFormatting>
  <conditionalFormatting sqref="D169">
    <cfRule type="dataBar" priority="72">
      <dataBar>
        <cfvo type="num" val="0"/>
        <cfvo type="num" val="1"/>
        <color theme="0" tint="-0.249977111117893"/>
      </dataBar>
      <extLst>
        <ext xmlns:x14="http://schemas.microsoft.com/office/spreadsheetml/2009/9/main" uri="{B025F937-C7B1-47D3-B67F-A62EFF666E3E}">
          <x14:id>{B95E7B64-DF2F-4DC7-98CC-055AC83C9DC0}</x14:id>
        </ext>
      </extLst>
    </cfRule>
  </conditionalFormatting>
  <conditionalFormatting sqref="D170">
    <cfRule type="dataBar" priority="71">
      <dataBar>
        <cfvo type="num" val="0"/>
        <cfvo type="num" val="1"/>
        <color theme="0" tint="-0.249977111117893"/>
      </dataBar>
      <extLst>
        <ext xmlns:x14="http://schemas.microsoft.com/office/spreadsheetml/2009/9/main" uri="{B025F937-C7B1-47D3-B67F-A62EFF666E3E}">
          <x14:id>{A0B068D3-11EE-4B89-B6F5-500C88ADBC61}</x14:id>
        </ext>
      </extLst>
    </cfRule>
  </conditionalFormatting>
  <conditionalFormatting sqref="D171">
    <cfRule type="dataBar" priority="70">
      <dataBar>
        <cfvo type="num" val="0"/>
        <cfvo type="num" val="1"/>
        <color theme="0" tint="-0.249977111117893"/>
      </dataBar>
      <extLst>
        <ext xmlns:x14="http://schemas.microsoft.com/office/spreadsheetml/2009/9/main" uri="{B025F937-C7B1-47D3-B67F-A62EFF666E3E}">
          <x14:id>{F940EF4A-505B-4CC1-87A7-3464C1338062}</x14:id>
        </ext>
      </extLst>
    </cfRule>
  </conditionalFormatting>
  <conditionalFormatting sqref="D172">
    <cfRule type="dataBar" priority="69">
      <dataBar>
        <cfvo type="num" val="0"/>
        <cfvo type="num" val="1"/>
        <color theme="0" tint="-0.249977111117893"/>
      </dataBar>
      <extLst>
        <ext xmlns:x14="http://schemas.microsoft.com/office/spreadsheetml/2009/9/main" uri="{B025F937-C7B1-47D3-B67F-A62EFF666E3E}">
          <x14:id>{93B278CC-6146-4F90-9749-368150FB7B03}</x14:id>
        </ext>
      </extLst>
    </cfRule>
  </conditionalFormatting>
  <conditionalFormatting sqref="D173">
    <cfRule type="dataBar" priority="68">
      <dataBar>
        <cfvo type="num" val="0"/>
        <cfvo type="num" val="1"/>
        <color theme="0" tint="-0.249977111117893"/>
      </dataBar>
      <extLst>
        <ext xmlns:x14="http://schemas.microsoft.com/office/spreadsheetml/2009/9/main" uri="{B025F937-C7B1-47D3-B67F-A62EFF666E3E}">
          <x14:id>{819ACC5C-E1A5-4B63-AE46-2FDDFCED3F81}</x14:id>
        </ext>
      </extLst>
    </cfRule>
  </conditionalFormatting>
  <conditionalFormatting sqref="D175">
    <cfRule type="dataBar" priority="67">
      <dataBar>
        <cfvo type="num" val="0"/>
        <cfvo type="num" val="1"/>
        <color theme="0" tint="-0.249977111117893"/>
      </dataBar>
      <extLst>
        <ext xmlns:x14="http://schemas.microsoft.com/office/spreadsheetml/2009/9/main" uri="{B025F937-C7B1-47D3-B67F-A62EFF666E3E}">
          <x14:id>{D74C6274-D573-4B37-BC18-BC2AB2563C3A}</x14:id>
        </ext>
      </extLst>
    </cfRule>
  </conditionalFormatting>
  <conditionalFormatting sqref="D174">
    <cfRule type="dataBar" priority="66">
      <dataBar>
        <cfvo type="num" val="0"/>
        <cfvo type="num" val="1"/>
        <color theme="0" tint="-0.249977111117893"/>
      </dataBar>
      <extLst>
        <ext xmlns:x14="http://schemas.microsoft.com/office/spreadsheetml/2009/9/main" uri="{B025F937-C7B1-47D3-B67F-A62EFF666E3E}">
          <x14:id>{919D6940-1696-4CB2-A9E2-1B60B54098C4}</x14:id>
        </ext>
      </extLst>
    </cfRule>
  </conditionalFormatting>
  <conditionalFormatting sqref="D176">
    <cfRule type="dataBar" priority="65">
      <dataBar>
        <cfvo type="num" val="0"/>
        <cfvo type="num" val="1"/>
        <color theme="0" tint="-0.249977111117893"/>
      </dataBar>
      <extLst>
        <ext xmlns:x14="http://schemas.microsoft.com/office/spreadsheetml/2009/9/main" uri="{B025F937-C7B1-47D3-B67F-A62EFF666E3E}">
          <x14:id>{F3E38615-D651-4D55-B1DF-896576120301}</x14:id>
        </ext>
      </extLst>
    </cfRule>
  </conditionalFormatting>
  <conditionalFormatting sqref="D178">
    <cfRule type="dataBar" priority="63">
      <dataBar>
        <cfvo type="num" val="0"/>
        <cfvo type="num" val="1"/>
        <color theme="0" tint="-0.249977111117893"/>
      </dataBar>
      <extLst>
        <ext xmlns:x14="http://schemas.microsoft.com/office/spreadsheetml/2009/9/main" uri="{B025F937-C7B1-47D3-B67F-A62EFF666E3E}">
          <x14:id>{E6590DB5-4A53-4B89-BAC6-F3C91BF0035C}</x14:id>
        </ext>
      </extLst>
    </cfRule>
  </conditionalFormatting>
  <conditionalFormatting sqref="D177">
    <cfRule type="dataBar" priority="62">
      <dataBar>
        <cfvo type="num" val="0"/>
        <cfvo type="num" val="1"/>
        <color theme="0" tint="-0.249977111117893"/>
      </dataBar>
      <extLst>
        <ext xmlns:x14="http://schemas.microsoft.com/office/spreadsheetml/2009/9/main" uri="{B025F937-C7B1-47D3-B67F-A62EFF666E3E}">
          <x14:id>{C52E4701-D962-442B-829F-9FC39105DAAE}</x14:id>
        </ext>
      </extLst>
    </cfRule>
  </conditionalFormatting>
  <conditionalFormatting sqref="D180">
    <cfRule type="dataBar" priority="55">
      <dataBar>
        <cfvo type="num" val="0"/>
        <cfvo type="num" val="1"/>
        <color theme="0" tint="-0.249977111117893"/>
      </dataBar>
      <extLst>
        <ext xmlns:x14="http://schemas.microsoft.com/office/spreadsheetml/2009/9/main" uri="{B025F937-C7B1-47D3-B67F-A62EFF666E3E}">
          <x14:id>{39404B7D-54C0-45C5-97A7-E185845FC5ED}</x14:id>
        </ext>
      </extLst>
    </cfRule>
  </conditionalFormatting>
  <conditionalFormatting sqref="D179">
    <cfRule type="dataBar" priority="54">
      <dataBar>
        <cfvo type="num" val="0"/>
        <cfvo type="num" val="1"/>
        <color theme="0" tint="-0.249977111117893"/>
      </dataBar>
      <extLst>
        <ext xmlns:x14="http://schemas.microsoft.com/office/spreadsheetml/2009/9/main" uri="{B025F937-C7B1-47D3-B67F-A62EFF666E3E}">
          <x14:id>{30802C17-67E1-4CEE-A30A-5D77DD654491}</x14:id>
        </ext>
      </extLst>
    </cfRule>
  </conditionalFormatting>
  <conditionalFormatting sqref="D181">
    <cfRule type="dataBar" priority="53">
      <dataBar>
        <cfvo type="num" val="0"/>
        <cfvo type="num" val="1"/>
        <color theme="0" tint="-0.249977111117893"/>
      </dataBar>
      <extLst>
        <ext xmlns:x14="http://schemas.microsoft.com/office/spreadsheetml/2009/9/main" uri="{B025F937-C7B1-47D3-B67F-A62EFF666E3E}">
          <x14:id>{F8917D72-1D7E-4007-957B-7CF8F6A26EEF}</x14:id>
        </ext>
      </extLst>
    </cfRule>
  </conditionalFormatting>
  <conditionalFormatting sqref="D182">
    <cfRule type="dataBar" priority="52">
      <dataBar>
        <cfvo type="num" val="0"/>
        <cfvo type="num" val="1"/>
        <color theme="0" tint="-0.249977111117893"/>
      </dataBar>
      <extLst>
        <ext xmlns:x14="http://schemas.microsoft.com/office/spreadsheetml/2009/9/main" uri="{B025F937-C7B1-47D3-B67F-A62EFF666E3E}">
          <x14:id>{B17479D6-21E3-4922-B118-39D2C8B15334}</x14:id>
        </ext>
      </extLst>
    </cfRule>
  </conditionalFormatting>
  <conditionalFormatting sqref="D184">
    <cfRule type="dataBar" priority="49">
      <dataBar>
        <cfvo type="num" val="0"/>
        <cfvo type="num" val="1"/>
        <color theme="0" tint="-0.249977111117893"/>
      </dataBar>
      <extLst>
        <ext xmlns:x14="http://schemas.microsoft.com/office/spreadsheetml/2009/9/main" uri="{B025F937-C7B1-47D3-B67F-A62EFF666E3E}">
          <x14:id>{46989F0D-F1EC-4D21-A067-9FC0B7AAB660}</x14:id>
        </ext>
      </extLst>
    </cfRule>
  </conditionalFormatting>
  <conditionalFormatting sqref="D183">
    <cfRule type="dataBar" priority="48">
      <dataBar>
        <cfvo type="num" val="0"/>
        <cfvo type="num" val="1"/>
        <color theme="0" tint="-0.249977111117893"/>
      </dataBar>
      <extLst>
        <ext xmlns:x14="http://schemas.microsoft.com/office/spreadsheetml/2009/9/main" uri="{B025F937-C7B1-47D3-B67F-A62EFF666E3E}">
          <x14:id>{2EE046EC-41B5-4208-A6B4-30D2315F42C1}</x14:id>
        </ext>
      </extLst>
    </cfRule>
  </conditionalFormatting>
  <conditionalFormatting sqref="D185">
    <cfRule type="dataBar" priority="47">
      <dataBar>
        <cfvo type="num" val="0"/>
        <cfvo type="num" val="1"/>
        <color theme="0" tint="-0.249977111117893"/>
      </dataBar>
      <extLst>
        <ext xmlns:x14="http://schemas.microsoft.com/office/spreadsheetml/2009/9/main" uri="{B025F937-C7B1-47D3-B67F-A62EFF666E3E}">
          <x14:id>{C4C01F15-D98D-422E-BAA8-6B4BDEADB0C8}</x14:id>
        </ext>
      </extLst>
    </cfRule>
  </conditionalFormatting>
  <conditionalFormatting sqref="D256:D258">
    <cfRule type="dataBar" priority="43">
      <dataBar>
        <cfvo type="num" val="0"/>
        <cfvo type="num" val="1"/>
        <color theme="0" tint="-0.249977111117893"/>
      </dataBar>
      <extLst>
        <ext xmlns:x14="http://schemas.microsoft.com/office/spreadsheetml/2009/9/main" uri="{B025F937-C7B1-47D3-B67F-A62EFF666E3E}">
          <x14:id>{30B2B900-D7DC-49A0-B633-44740662E41E}</x14:id>
        </ext>
      </extLst>
    </cfRule>
  </conditionalFormatting>
  <conditionalFormatting sqref="D259:D260">
    <cfRule type="dataBar" priority="42">
      <dataBar>
        <cfvo type="num" val="0"/>
        <cfvo type="num" val="1"/>
        <color theme="0" tint="-0.249977111117893"/>
      </dataBar>
      <extLst>
        <ext xmlns:x14="http://schemas.microsoft.com/office/spreadsheetml/2009/9/main" uri="{B025F937-C7B1-47D3-B67F-A62EFF666E3E}">
          <x14:id>{01413176-C9AC-497A-B84F-0ED4AB9968BC}</x14:id>
        </ext>
      </extLst>
    </cfRule>
  </conditionalFormatting>
  <conditionalFormatting sqref="D262:D264">
    <cfRule type="dataBar" priority="41">
      <dataBar>
        <cfvo type="num" val="0"/>
        <cfvo type="num" val="1"/>
        <color theme="0" tint="-0.249977111117893"/>
      </dataBar>
      <extLst>
        <ext xmlns:x14="http://schemas.microsoft.com/office/spreadsheetml/2009/9/main" uri="{B025F937-C7B1-47D3-B67F-A62EFF666E3E}">
          <x14:id>{E948AA0A-F67D-4A6D-845C-0AB0CD1FA39A}</x14:id>
        </ext>
      </extLst>
    </cfRule>
  </conditionalFormatting>
  <conditionalFormatting sqref="D265:D266">
    <cfRule type="dataBar" priority="40">
      <dataBar>
        <cfvo type="num" val="0"/>
        <cfvo type="num" val="1"/>
        <color theme="0" tint="-0.249977111117893"/>
      </dataBar>
      <extLst>
        <ext xmlns:x14="http://schemas.microsoft.com/office/spreadsheetml/2009/9/main" uri="{B025F937-C7B1-47D3-B67F-A62EFF666E3E}">
          <x14:id>{40E555EF-DD95-4527-A2F3-EBAC0FF71082}</x14:id>
        </ext>
      </extLst>
    </cfRule>
  </conditionalFormatting>
  <conditionalFormatting sqref="D267:D268">
    <cfRule type="dataBar" priority="39">
      <dataBar>
        <cfvo type="num" val="0"/>
        <cfvo type="num" val="1"/>
        <color theme="0" tint="-0.249977111117893"/>
      </dataBar>
      <extLst>
        <ext xmlns:x14="http://schemas.microsoft.com/office/spreadsheetml/2009/9/main" uri="{B025F937-C7B1-47D3-B67F-A62EFF666E3E}">
          <x14:id>{F9A65A19-F115-4B81-926B-6AF3187CD55A}</x14:id>
        </ext>
      </extLst>
    </cfRule>
  </conditionalFormatting>
  <conditionalFormatting sqref="D270:D271">
    <cfRule type="dataBar" priority="38">
      <dataBar>
        <cfvo type="num" val="0"/>
        <cfvo type="num" val="1"/>
        <color theme="0" tint="-0.249977111117893"/>
      </dataBar>
      <extLst>
        <ext xmlns:x14="http://schemas.microsoft.com/office/spreadsheetml/2009/9/main" uri="{B025F937-C7B1-47D3-B67F-A62EFF666E3E}">
          <x14:id>{01B3D0FD-750C-49C3-A7CB-7218C2C0F003}</x14:id>
        </ext>
      </extLst>
    </cfRule>
  </conditionalFormatting>
  <conditionalFormatting sqref="D269">
    <cfRule type="dataBar" priority="37">
      <dataBar>
        <cfvo type="num" val="0"/>
        <cfvo type="num" val="1"/>
        <color theme="0" tint="-0.249977111117893"/>
      </dataBar>
      <extLst>
        <ext xmlns:x14="http://schemas.microsoft.com/office/spreadsheetml/2009/9/main" uri="{B025F937-C7B1-47D3-B67F-A62EFF666E3E}">
          <x14:id>{D5E217B6-7CC5-4B55-B17B-5D4EA9980F61}</x14:id>
        </ext>
      </extLst>
    </cfRule>
  </conditionalFormatting>
  <conditionalFormatting sqref="D272:D273">
    <cfRule type="dataBar" priority="36">
      <dataBar>
        <cfvo type="num" val="0"/>
        <cfvo type="num" val="1"/>
        <color theme="0" tint="-0.249977111117893"/>
      </dataBar>
      <extLst>
        <ext xmlns:x14="http://schemas.microsoft.com/office/spreadsheetml/2009/9/main" uri="{B025F937-C7B1-47D3-B67F-A62EFF666E3E}">
          <x14:id>{FA390DFF-D1C8-4D8D-AEFF-38E5763FFC2F}</x14:id>
        </ext>
      </extLst>
    </cfRule>
  </conditionalFormatting>
  <conditionalFormatting sqref="ED5:ED276">
    <cfRule type="expression" dxfId="2" priority="318">
      <formula>AND(TODAY()&gt;=ED$5,TODAY()&lt;#REF!)</formula>
    </cfRule>
  </conditionalFormatting>
  <conditionalFormatting sqref="ED7:ED276">
    <cfRule type="expression" dxfId="1" priority="321">
      <formula>AND(タスク_開始&lt;=ED$5,ROUNDDOWN((タスク_終了-タスク_開始+1)*タスク_進捗状況,0)+タスク_開始-1&gt;=ED$5)</formula>
    </cfRule>
    <cfRule type="expression" dxfId="0" priority="322" stopIfTrue="1">
      <formula>AND(タスク_終了&gt;=ED$5,タスク_開始&lt;#REF!)</formula>
    </cfRule>
  </conditionalFormatting>
  <conditionalFormatting sqref="D228">
    <cfRule type="dataBar" priority="35">
      <dataBar>
        <cfvo type="num" val="0"/>
        <cfvo type="num" val="1"/>
        <color theme="0" tint="-0.249977111117893"/>
      </dataBar>
      <extLst>
        <ext xmlns:x14="http://schemas.microsoft.com/office/spreadsheetml/2009/9/main" uri="{B025F937-C7B1-47D3-B67F-A62EFF666E3E}">
          <x14:id>{50604248-C234-476D-87B8-27E22CFB8DEF}</x14:id>
        </ext>
      </extLst>
    </cfRule>
  </conditionalFormatting>
  <conditionalFormatting sqref="D227">
    <cfRule type="dataBar" priority="34">
      <dataBar>
        <cfvo type="num" val="0"/>
        <cfvo type="num" val="1"/>
        <color theme="0" tint="-0.249977111117893"/>
      </dataBar>
      <extLst>
        <ext xmlns:x14="http://schemas.microsoft.com/office/spreadsheetml/2009/9/main" uri="{B025F937-C7B1-47D3-B67F-A62EFF666E3E}">
          <x14:id>{3F3C0EA1-4273-4AAB-93EF-C3FD7F53BC77}</x14:id>
        </ext>
      </extLst>
    </cfRule>
  </conditionalFormatting>
  <conditionalFormatting sqref="D229">
    <cfRule type="dataBar" priority="33">
      <dataBar>
        <cfvo type="num" val="0"/>
        <cfvo type="num" val="1"/>
        <color theme="0" tint="-0.249977111117893"/>
      </dataBar>
      <extLst>
        <ext xmlns:x14="http://schemas.microsoft.com/office/spreadsheetml/2009/9/main" uri="{B025F937-C7B1-47D3-B67F-A62EFF666E3E}">
          <x14:id>{00D73E22-E9BF-454E-AA5D-B5135D4BFAAB}</x14:id>
        </ext>
      </extLst>
    </cfRule>
  </conditionalFormatting>
  <conditionalFormatting sqref="D45">
    <cfRule type="dataBar" priority="32">
      <dataBar>
        <cfvo type="num" val="0"/>
        <cfvo type="num" val="1"/>
        <color theme="0" tint="-0.249977111117893"/>
      </dataBar>
      <extLst>
        <ext xmlns:x14="http://schemas.microsoft.com/office/spreadsheetml/2009/9/main" uri="{B025F937-C7B1-47D3-B67F-A62EFF666E3E}">
          <x14:id>{2AB6FC1A-CB9A-4515-821A-23826BF7F9A5}</x14:id>
        </ext>
      </extLst>
    </cfRule>
  </conditionalFormatting>
  <conditionalFormatting sqref="D53">
    <cfRule type="dataBar" priority="31">
      <dataBar>
        <cfvo type="num" val="0"/>
        <cfvo type="num" val="1"/>
        <color theme="0" tint="-0.249977111117893"/>
      </dataBar>
      <extLst>
        <ext xmlns:x14="http://schemas.microsoft.com/office/spreadsheetml/2009/9/main" uri="{B025F937-C7B1-47D3-B67F-A62EFF666E3E}">
          <x14:id>{7ACF6717-608B-4A28-ABDC-C12A6C036D18}</x14:id>
        </ext>
      </extLst>
    </cfRule>
  </conditionalFormatting>
  <conditionalFormatting sqref="D52">
    <cfRule type="dataBar" priority="30">
      <dataBar>
        <cfvo type="num" val="0"/>
        <cfvo type="num" val="1"/>
        <color theme="0" tint="-0.249977111117893"/>
      </dataBar>
      <extLst>
        <ext xmlns:x14="http://schemas.microsoft.com/office/spreadsheetml/2009/9/main" uri="{B025F937-C7B1-47D3-B67F-A62EFF666E3E}">
          <x14:id>{93315C59-C926-4167-9F1D-58B44B4BD57A}</x14:id>
        </ext>
      </extLst>
    </cfRule>
  </conditionalFormatting>
  <conditionalFormatting sqref="D22">
    <cfRule type="dataBar" priority="29">
      <dataBar>
        <cfvo type="num" val="0"/>
        <cfvo type="num" val="1"/>
        <color theme="0" tint="-0.249977111117893"/>
      </dataBar>
      <extLst>
        <ext xmlns:x14="http://schemas.microsoft.com/office/spreadsheetml/2009/9/main" uri="{B025F937-C7B1-47D3-B67F-A62EFF666E3E}">
          <x14:id>{35A2F634-260E-4A0B-9431-7B8600F4D62A}</x14:id>
        </ext>
      </extLst>
    </cfRule>
  </conditionalFormatting>
  <conditionalFormatting sqref="D72">
    <cfRule type="dataBar" priority="28">
      <dataBar>
        <cfvo type="num" val="0"/>
        <cfvo type="num" val="1"/>
        <color theme="0" tint="-0.249977111117893"/>
      </dataBar>
      <extLst>
        <ext xmlns:x14="http://schemas.microsoft.com/office/spreadsheetml/2009/9/main" uri="{B025F937-C7B1-47D3-B67F-A62EFF666E3E}">
          <x14:id>{F7EFA2C5-C4B9-40DB-8C86-144EAA00E7E3}</x14:id>
        </ext>
      </extLst>
    </cfRule>
  </conditionalFormatting>
  <conditionalFormatting sqref="D73">
    <cfRule type="dataBar" priority="27">
      <dataBar>
        <cfvo type="num" val="0"/>
        <cfvo type="num" val="1"/>
        <color theme="0" tint="-0.249977111117893"/>
      </dataBar>
      <extLst>
        <ext xmlns:x14="http://schemas.microsoft.com/office/spreadsheetml/2009/9/main" uri="{B025F937-C7B1-47D3-B67F-A62EFF666E3E}">
          <x14:id>{8C3CF505-E917-4514-B48F-1397E3EAA48F}</x14:id>
        </ext>
      </extLst>
    </cfRule>
  </conditionalFormatting>
  <conditionalFormatting sqref="D74">
    <cfRule type="dataBar" priority="26">
      <dataBar>
        <cfvo type="num" val="0"/>
        <cfvo type="num" val="1"/>
        <color theme="0" tint="-0.249977111117893"/>
      </dataBar>
      <extLst>
        <ext xmlns:x14="http://schemas.microsoft.com/office/spreadsheetml/2009/9/main" uri="{B025F937-C7B1-47D3-B67F-A62EFF666E3E}">
          <x14:id>{7D8CDC48-6F58-46DC-9E85-A36EC8E4C137}</x14:id>
        </ext>
      </extLst>
    </cfRule>
  </conditionalFormatting>
  <conditionalFormatting sqref="D96">
    <cfRule type="dataBar" priority="25">
      <dataBar>
        <cfvo type="num" val="0"/>
        <cfvo type="num" val="1"/>
        <color theme="0" tint="-0.249977111117893"/>
      </dataBar>
      <extLst>
        <ext xmlns:x14="http://schemas.microsoft.com/office/spreadsheetml/2009/9/main" uri="{B025F937-C7B1-47D3-B67F-A62EFF666E3E}">
          <x14:id>{DCD74059-A27F-45A9-827E-C5DF6D242912}</x14:id>
        </ext>
      </extLst>
    </cfRule>
  </conditionalFormatting>
  <conditionalFormatting sqref="D117">
    <cfRule type="dataBar" priority="24">
      <dataBar>
        <cfvo type="num" val="0"/>
        <cfvo type="num" val="1"/>
        <color theme="0" tint="-0.249977111117893"/>
      </dataBar>
      <extLst>
        <ext xmlns:x14="http://schemas.microsoft.com/office/spreadsheetml/2009/9/main" uri="{B025F937-C7B1-47D3-B67F-A62EFF666E3E}">
          <x14:id>{D8757667-92EA-44E2-AAE3-FC74A4866DF2}</x14:id>
        </ext>
      </extLst>
    </cfRule>
  </conditionalFormatting>
  <conditionalFormatting sqref="D119">
    <cfRule type="dataBar" priority="23">
      <dataBar>
        <cfvo type="num" val="0"/>
        <cfvo type="num" val="1"/>
        <color theme="0" tint="-0.249977111117893"/>
      </dataBar>
      <extLst>
        <ext xmlns:x14="http://schemas.microsoft.com/office/spreadsheetml/2009/9/main" uri="{B025F937-C7B1-47D3-B67F-A62EFF666E3E}">
          <x14:id>{06081CCF-F392-4F98-B0AA-52DA2DD4028D}</x14:id>
        </ext>
      </extLst>
    </cfRule>
  </conditionalFormatting>
  <conditionalFormatting sqref="D118">
    <cfRule type="dataBar" priority="22">
      <dataBar>
        <cfvo type="num" val="0"/>
        <cfvo type="num" val="1"/>
        <color theme="0" tint="-0.249977111117893"/>
      </dataBar>
      <extLst>
        <ext xmlns:x14="http://schemas.microsoft.com/office/spreadsheetml/2009/9/main" uri="{B025F937-C7B1-47D3-B67F-A62EFF666E3E}">
          <x14:id>{FBAB3BEF-32E9-4F9C-AA30-9E32ED657261}</x14:id>
        </ext>
      </extLst>
    </cfRule>
  </conditionalFormatting>
  <conditionalFormatting sqref="D120">
    <cfRule type="dataBar" priority="21">
      <dataBar>
        <cfvo type="num" val="0"/>
        <cfvo type="num" val="1"/>
        <color theme="0" tint="-0.249977111117893"/>
      </dataBar>
      <extLst>
        <ext xmlns:x14="http://schemas.microsoft.com/office/spreadsheetml/2009/9/main" uri="{B025F937-C7B1-47D3-B67F-A62EFF666E3E}">
          <x14:id>{826DF911-D38E-4A8B-8587-1735E40424AA}</x14:id>
        </ext>
      </extLst>
    </cfRule>
  </conditionalFormatting>
  <conditionalFormatting sqref="D121">
    <cfRule type="dataBar" priority="20">
      <dataBar>
        <cfvo type="num" val="0"/>
        <cfvo type="num" val="1"/>
        <color theme="0" tint="-0.249977111117893"/>
      </dataBar>
      <extLst>
        <ext xmlns:x14="http://schemas.microsoft.com/office/spreadsheetml/2009/9/main" uri="{B025F937-C7B1-47D3-B67F-A62EFF666E3E}">
          <x14:id>{0DC48876-507E-432C-910B-3E5AA171BFE6}</x14:id>
        </ext>
      </extLst>
    </cfRule>
  </conditionalFormatting>
  <conditionalFormatting sqref="D123">
    <cfRule type="dataBar" priority="19">
      <dataBar>
        <cfvo type="num" val="0"/>
        <cfvo type="num" val="1"/>
        <color theme="0" tint="-0.249977111117893"/>
      </dataBar>
      <extLst>
        <ext xmlns:x14="http://schemas.microsoft.com/office/spreadsheetml/2009/9/main" uri="{B025F937-C7B1-47D3-B67F-A62EFF666E3E}">
          <x14:id>{1F12AC12-4784-41CA-9A9F-A7536A545CD0}</x14:id>
        </ext>
      </extLst>
    </cfRule>
  </conditionalFormatting>
  <conditionalFormatting sqref="D122">
    <cfRule type="dataBar" priority="18">
      <dataBar>
        <cfvo type="num" val="0"/>
        <cfvo type="num" val="1"/>
        <color theme="0" tint="-0.249977111117893"/>
      </dataBar>
      <extLst>
        <ext xmlns:x14="http://schemas.microsoft.com/office/spreadsheetml/2009/9/main" uri="{B025F937-C7B1-47D3-B67F-A62EFF666E3E}">
          <x14:id>{E61D7B35-A0F5-4D52-9D4B-845BB2CF156F}</x14:id>
        </ext>
      </extLst>
    </cfRule>
  </conditionalFormatting>
  <conditionalFormatting sqref="D125">
    <cfRule type="dataBar" priority="17">
      <dataBar>
        <cfvo type="num" val="0"/>
        <cfvo type="num" val="1"/>
        <color theme="0" tint="-0.249977111117893"/>
      </dataBar>
      <extLst>
        <ext xmlns:x14="http://schemas.microsoft.com/office/spreadsheetml/2009/9/main" uri="{B025F937-C7B1-47D3-B67F-A62EFF666E3E}">
          <x14:id>{597834FB-23E1-4B49-8EF6-D893E8286E2C}</x14:id>
        </ext>
      </extLst>
    </cfRule>
  </conditionalFormatting>
  <conditionalFormatting sqref="D124">
    <cfRule type="dataBar" priority="16">
      <dataBar>
        <cfvo type="num" val="0"/>
        <cfvo type="num" val="1"/>
        <color theme="0" tint="-0.249977111117893"/>
      </dataBar>
      <extLst>
        <ext xmlns:x14="http://schemas.microsoft.com/office/spreadsheetml/2009/9/main" uri="{B025F937-C7B1-47D3-B67F-A62EFF666E3E}">
          <x14:id>{32245E97-2B55-4B27-8DA5-C00DDDA8897F}</x14:id>
        </ext>
      </extLst>
    </cfRule>
  </conditionalFormatting>
  <conditionalFormatting sqref="D129">
    <cfRule type="dataBar" priority="15">
      <dataBar>
        <cfvo type="num" val="0"/>
        <cfvo type="num" val="1"/>
        <color theme="0" tint="-0.249977111117893"/>
      </dataBar>
      <extLst>
        <ext xmlns:x14="http://schemas.microsoft.com/office/spreadsheetml/2009/9/main" uri="{B025F937-C7B1-47D3-B67F-A62EFF666E3E}">
          <x14:id>{380234B2-6291-4985-BBAD-538F99BC847B}</x14:id>
        </ext>
      </extLst>
    </cfRule>
  </conditionalFormatting>
  <conditionalFormatting sqref="D130">
    <cfRule type="dataBar" priority="14">
      <dataBar>
        <cfvo type="num" val="0"/>
        <cfvo type="num" val="1"/>
        <color theme="0" tint="-0.249977111117893"/>
      </dataBar>
      <extLst>
        <ext xmlns:x14="http://schemas.microsoft.com/office/spreadsheetml/2009/9/main" uri="{B025F937-C7B1-47D3-B67F-A62EFF666E3E}">
          <x14:id>{DC3D7D5A-3D5F-4271-B7CA-D7A2E1586010}</x14:id>
        </ext>
      </extLst>
    </cfRule>
  </conditionalFormatting>
  <conditionalFormatting sqref="D131">
    <cfRule type="dataBar" priority="13">
      <dataBar>
        <cfvo type="num" val="0"/>
        <cfvo type="num" val="1"/>
        <color theme="0" tint="-0.249977111117893"/>
      </dataBar>
      <extLst>
        <ext xmlns:x14="http://schemas.microsoft.com/office/spreadsheetml/2009/9/main" uri="{B025F937-C7B1-47D3-B67F-A62EFF666E3E}">
          <x14:id>{DE3FD6C2-240B-4B9C-AEE0-BA4400BC3A0D}</x14:id>
        </ext>
      </extLst>
    </cfRule>
  </conditionalFormatting>
  <conditionalFormatting sqref="D132">
    <cfRule type="dataBar" priority="12">
      <dataBar>
        <cfvo type="num" val="0"/>
        <cfvo type="num" val="1"/>
        <color theme="0" tint="-0.249977111117893"/>
      </dataBar>
      <extLst>
        <ext xmlns:x14="http://schemas.microsoft.com/office/spreadsheetml/2009/9/main" uri="{B025F937-C7B1-47D3-B67F-A62EFF666E3E}">
          <x14:id>{5453652F-7EF2-4E36-AABD-C23E8FC91451}</x14:id>
        </ext>
      </extLst>
    </cfRule>
  </conditionalFormatting>
  <conditionalFormatting sqref="D133">
    <cfRule type="dataBar" priority="11">
      <dataBar>
        <cfvo type="num" val="0"/>
        <cfvo type="num" val="1"/>
        <color theme="0" tint="-0.249977111117893"/>
      </dataBar>
      <extLst>
        <ext xmlns:x14="http://schemas.microsoft.com/office/spreadsheetml/2009/9/main" uri="{B025F937-C7B1-47D3-B67F-A62EFF666E3E}">
          <x14:id>{8885534A-498E-4CC1-A9E1-EEE1F71F1BE1}</x14:id>
        </ext>
      </extLst>
    </cfRule>
  </conditionalFormatting>
  <conditionalFormatting sqref="D134">
    <cfRule type="dataBar" priority="10">
      <dataBar>
        <cfvo type="num" val="0"/>
        <cfvo type="num" val="1"/>
        <color theme="0" tint="-0.249977111117893"/>
      </dataBar>
      <extLst>
        <ext xmlns:x14="http://schemas.microsoft.com/office/spreadsheetml/2009/9/main" uri="{B025F937-C7B1-47D3-B67F-A62EFF666E3E}">
          <x14:id>{0CAB910E-C89D-4A75-9221-EC2A46D717CE}</x14:id>
        </ext>
      </extLst>
    </cfRule>
  </conditionalFormatting>
  <conditionalFormatting sqref="D135">
    <cfRule type="dataBar" priority="9">
      <dataBar>
        <cfvo type="num" val="0"/>
        <cfvo type="num" val="1"/>
        <color theme="0" tint="-0.249977111117893"/>
      </dataBar>
      <extLst>
        <ext xmlns:x14="http://schemas.microsoft.com/office/spreadsheetml/2009/9/main" uri="{B025F937-C7B1-47D3-B67F-A62EFF666E3E}">
          <x14:id>{4D1CF7B9-19D3-4E86-BF0F-81604837619D}</x14:id>
        </ext>
      </extLst>
    </cfRule>
  </conditionalFormatting>
  <conditionalFormatting sqref="D126">
    <cfRule type="dataBar" priority="8">
      <dataBar>
        <cfvo type="num" val="0"/>
        <cfvo type="num" val="1"/>
        <color theme="0" tint="-0.249977111117893"/>
      </dataBar>
      <extLst>
        <ext xmlns:x14="http://schemas.microsoft.com/office/spreadsheetml/2009/9/main" uri="{B025F937-C7B1-47D3-B67F-A62EFF666E3E}">
          <x14:id>{CCFC35C4-AA61-48EF-BDC7-D3B444284385}</x14:id>
        </ext>
      </extLst>
    </cfRule>
  </conditionalFormatting>
  <conditionalFormatting sqref="D127">
    <cfRule type="dataBar" priority="7">
      <dataBar>
        <cfvo type="num" val="0"/>
        <cfvo type="num" val="1"/>
        <color theme="0" tint="-0.249977111117893"/>
      </dataBar>
      <extLst>
        <ext xmlns:x14="http://schemas.microsoft.com/office/spreadsheetml/2009/9/main" uri="{B025F937-C7B1-47D3-B67F-A62EFF666E3E}">
          <x14:id>{1639ED5F-C9EC-4572-8ECC-9DBA2F5EAE05}</x14:id>
        </ext>
      </extLst>
    </cfRule>
  </conditionalFormatting>
  <conditionalFormatting sqref="D128">
    <cfRule type="dataBar" priority="6">
      <dataBar>
        <cfvo type="num" val="0"/>
        <cfvo type="num" val="1"/>
        <color theme="0" tint="-0.249977111117893"/>
      </dataBar>
      <extLst>
        <ext xmlns:x14="http://schemas.microsoft.com/office/spreadsheetml/2009/9/main" uri="{B025F937-C7B1-47D3-B67F-A62EFF666E3E}">
          <x14:id>{79339534-E46A-40E2-915D-38FD7E3DD7C9}</x14:id>
        </ext>
      </extLst>
    </cfRule>
  </conditionalFormatting>
  <conditionalFormatting sqref="D136">
    <cfRule type="dataBar" priority="5">
      <dataBar>
        <cfvo type="num" val="0"/>
        <cfvo type="num" val="1"/>
        <color theme="0" tint="-0.249977111117893"/>
      </dataBar>
      <extLst>
        <ext xmlns:x14="http://schemas.microsoft.com/office/spreadsheetml/2009/9/main" uri="{B025F937-C7B1-47D3-B67F-A62EFF666E3E}">
          <x14:id>{AFBA83EF-F43B-49E3-8081-9B5AE330932A}</x14:id>
        </ext>
      </extLst>
    </cfRule>
  </conditionalFormatting>
  <conditionalFormatting sqref="D137">
    <cfRule type="dataBar" priority="4">
      <dataBar>
        <cfvo type="num" val="0"/>
        <cfvo type="num" val="1"/>
        <color theme="0" tint="-0.249977111117893"/>
      </dataBar>
      <extLst>
        <ext xmlns:x14="http://schemas.microsoft.com/office/spreadsheetml/2009/9/main" uri="{B025F937-C7B1-47D3-B67F-A62EFF666E3E}">
          <x14:id>{87BC5F7B-7F8B-407C-B482-2D33028E5718}</x14:id>
        </ext>
      </extLst>
    </cfRule>
  </conditionalFormatting>
  <conditionalFormatting sqref="D138">
    <cfRule type="dataBar" priority="3">
      <dataBar>
        <cfvo type="num" val="0"/>
        <cfvo type="num" val="1"/>
        <color theme="0" tint="-0.249977111117893"/>
      </dataBar>
      <extLst>
        <ext xmlns:x14="http://schemas.microsoft.com/office/spreadsheetml/2009/9/main" uri="{B025F937-C7B1-47D3-B67F-A62EFF666E3E}">
          <x14:id>{BA27F715-2732-4965-930D-411D215E8C1E}</x14:id>
        </ext>
      </extLst>
    </cfRule>
  </conditionalFormatting>
  <conditionalFormatting sqref="D274:D275">
    <cfRule type="dataBar" priority="2">
      <dataBar>
        <cfvo type="num" val="0"/>
        <cfvo type="num" val="1"/>
        <color theme="0" tint="-0.249977111117893"/>
      </dataBar>
      <extLst>
        <ext xmlns:x14="http://schemas.microsoft.com/office/spreadsheetml/2009/9/main" uri="{B025F937-C7B1-47D3-B67F-A62EFF666E3E}">
          <x14:id>{1C498544-6D9A-4F83-A560-18C49B82E543}</x14:id>
        </ext>
      </extLst>
    </cfRule>
  </conditionalFormatting>
  <conditionalFormatting sqref="D276">
    <cfRule type="dataBar" priority="1">
      <dataBar>
        <cfvo type="num" val="0"/>
        <cfvo type="num" val="1"/>
        <color theme="0" tint="-0.249977111117893"/>
      </dataBar>
      <extLst>
        <ext xmlns:x14="http://schemas.microsoft.com/office/spreadsheetml/2009/9/main" uri="{B025F937-C7B1-47D3-B67F-A62EFF666E3E}">
          <x14:id>{267BAF59-EF07-46F4-B7EB-20733CA1CB6A}</x14:id>
        </ext>
      </extLst>
    </cfRule>
  </conditionalFormatting>
  <dataValidations count="1">
    <dataValidation type="whole" operator="greaterThanOrEqual" allowBlank="1" showInputMessage="1" promptTitle="週表示" prompt="この数字を変更すると、ガント チャート ビューがスクロールされます。"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28" fitToHeight="0" orientation="landscape" r:id="rId3"/>
  <headerFooter differentFirst="1" scaleWithDoc="0">
    <oddFooter>Page &amp;P of &amp;N</oddFooter>
  </headerFooter>
  <colBreaks count="1" manualBreakCount="1">
    <brk id="1" max="1048575" man="1"/>
  </colBreaks>
  <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D7:D13 D38 D40 D42 D251:D255 D261 D44</xm:sqref>
        </x14:conditionalFormatting>
        <x14:conditionalFormatting xmlns:xm="http://schemas.microsoft.com/office/excel/2006/main">
          <x14:cfRule type="dataBar" id="{87C5E010-8310-4FB4-A168-D10427671A89}">
            <x14:dataBar minLength="0" maxLength="100" gradient="0">
              <x14:cfvo type="num">
                <xm:f>0</xm:f>
              </x14:cfvo>
              <x14:cfvo type="num">
                <xm:f>1</xm:f>
              </x14:cfvo>
              <x14:negativeFillColor rgb="FFFF0000"/>
              <x14:axisColor rgb="FF000000"/>
            </x14:dataBar>
          </x14:cfRule>
          <xm:sqref>D14:D16</xm:sqref>
        </x14:conditionalFormatting>
        <x14:conditionalFormatting xmlns:xm="http://schemas.microsoft.com/office/excel/2006/main">
          <x14:cfRule type="dataBar" id="{7C1C6A69-4235-4A53-9380-601594FBCD7D}">
            <x14:dataBar minLength="0" maxLength="100" gradient="0">
              <x14:cfvo type="num">
                <xm:f>0</xm:f>
              </x14:cfvo>
              <x14:cfvo type="num">
                <xm:f>1</xm:f>
              </x14:cfvo>
              <x14:negativeFillColor rgb="FFFF0000"/>
              <x14:axisColor rgb="FF000000"/>
            </x14:dataBar>
          </x14:cfRule>
          <xm:sqref>D17:D18</xm:sqref>
        </x14:conditionalFormatting>
        <x14:conditionalFormatting xmlns:xm="http://schemas.microsoft.com/office/excel/2006/main">
          <x14:cfRule type="dataBar" id="{AC3CB475-19DC-4CB9-B67C-84DB32F13110}">
            <x14:dataBar minLength="0" maxLength="100" gradient="0">
              <x14:cfvo type="num">
                <xm:f>0</xm:f>
              </x14:cfvo>
              <x14:cfvo type="num">
                <xm:f>1</xm:f>
              </x14:cfvo>
              <x14:negativeFillColor rgb="FFFF0000"/>
              <x14:axisColor rgb="FF000000"/>
            </x14:dataBar>
          </x14:cfRule>
          <xm:sqref>D19:D21</xm:sqref>
        </x14:conditionalFormatting>
        <x14:conditionalFormatting xmlns:xm="http://schemas.microsoft.com/office/excel/2006/main">
          <x14:cfRule type="dataBar" id="{AC5D8716-4C8B-4EB9-B803-8E09D811BF85}">
            <x14:dataBar minLength="0" maxLength="100" gradient="0">
              <x14:cfvo type="num">
                <xm:f>0</xm:f>
              </x14:cfvo>
              <x14:cfvo type="num">
                <xm:f>1</xm:f>
              </x14:cfvo>
              <x14:negativeFillColor rgb="FFFF0000"/>
              <x14:axisColor rgb="FF000000"/>
            </x14:dataBar>
          </x14:cfRule>
          <xm:sqref>D23</xm:sqref>
        </x14:conditionalFormatting>
        <x14:conditionalFormatting xmlns:xm="http://schemas.microsoft.com/office/excel/2006/main">
          <x14:cfRule type="dataBar" id="{D01424E3-2596-442E-A54B-6AAD650EFEDC}">
            <x14:dataBar minLength="0" maxLength="100" gradient="0">
              <x14:cfvo type="num">
                <xm:f>0</xm:f>
              </x14:cfvo>
              <x14:cfvo type="num">
                <xm:f>1</xm:f>
              </x14:cfvo>
              <x14:negativeFillColor rgb="FFFF0000"/>
              <x14:axisColor rgb="FF000000"/>
            </x14:dataBar>
          </x14:cfRule>
          <xm:sqref>D24</xm:sqref>
        </x14:conditionalFormatting>
        <x14:conditionalFormatting xmlns:xm="http://schemas.microsoft.com/office/excel/2006/main">
          <x14:cfRule type="dataBar" id="{5EF1BC09-E9B4-4006-A0A3-04C16DAD5AAB}">
            <x14:dataBar minLength="0" maxLength="100" gradient="0">
              <x14:cfvo type="num">
                <xm:f>0</xm:f>
              </x14:cfvo>
              <x14:cfvo type="num">
                <xm:f>1</xm:f>
              </x14:cfvo>
              <x14:negativeFillColor rgb="FFFF0000"/>
              <x14:axisColor rgb="FF000000"/>
            </x14:dataBar>
          </x14:cfRule>
          <xm:sqref>D25:D26</xm:sqref>
        </x14:conditionalFormatting>
        <x14:conditionalFormatting xmlns:xm="http://schemas.microsoft.com/office/excel/2006/main">
          <x14:cfRule type="dataBar" id="{EEB6099B-610F-420B-8586-6B7161D653E4}">
            <x14:dataBar minLength="0" maxLength="100" gradient="0">
              <x14:cfvo type="num">
                <xm:f>0</xm:f>
              </x14:cfvo>
              <x14:cfvo type="num">
                <xm:f>1</xm:f>
              </x14:cfvo>
              <x14:negativeFillColor rgb="FFFF0000"/>
              <x14:axisColor rgb="FF000000"/>
            </x14:dataBar>
          </x14:cfRule>
          <xm:sqref>D29:D30</xm:sqref>
        </x14:conditionalFormatting>
        <x14:conditionalFormatting xmlns:xm="http://schemas.microsoft.com/office/excel/2006/main">
          <x14:cfRule type="dataBar" id="{5AC94562-9DBE-49E5-BE32-6C8F2E79BD05}">
            <x14:dataBar minLength="0" maxLength="100" gradient="0">
              <x14:cfvo type="num">
                <xm:f>0</xm:f>
              </x14:cfvo>
              <x14:cfvo type="num">
                <xm:f>1</xm:f>
              </x14:cfvo>
              <x14:negativeFillColor rgb="FFFF0000"/>
              <x14:axisColor rgb="FF000000"/>
            </x14:dataBar>
          </x14:cfRule>
          <xm:sqref>D31</xm:sqref>
        </x14:conditionalFormatting>
        <x14:conditionalFormatting xmlns:xm="http://schemas.microsoft.com/office/excel/2006/main">
          <x14:cfRule type="dataBar" id="{49849B3A-31B6-4A20-8EEE-F5E1C676AE61}">
            <x14:dataBar minLength="0" maxLength="100" gradient="0">
              <x14:cfvo type="num">
                <xm:f>0</xm:f>
              </x14:cfvo>
              <x14:cfvo type="num">
                <xm:f>1</xm:f>
              </x14:cfvo>
              <x14:negativeFillColor rgb="FFFF0000"/>
              <x14:axisColor rgb="FF000000"/>
            </x14:dataBar>
          </x14:cfRule>
          <xm:sqref>D32:D33</xm:sqref>
        </x14:conditionalFormatting>
        <x14:conditionalFormatting xmlns:xm="http://schemas.microsoft.com/office/excel/2006/main">
          <x14:cfRule type="dataBar" id="{6B6D3CEC-9B28-4019-AE08-2D810E8AD0F2}">
            <x14:dataBar minLength="0" maxLength="100" gradient="0">
              <x14:cfvo type="num">
                <xm:f>0</xm:f>
              </x14:cfvo>
              <x14:cfvo type="num">
                <xm:f>1</xm:f>
              </x14:cfvo>
              <x14:negativeFillColor rgb="FFFF0000"/>
              <x14:axisColor rgb="FF000000"/>
            </x14:dataBar>
          </x14:cfRule>
          <xm:sqref>D27</xm:sqref>
        </x14:conditionalFormatting>
        <x14:conditionalFormatting xmlns:xm="http://schemas.microsoft.com/office/excel/2006/main">
          <x14:cfRule type="dataBar" id="{7B1E953D-C70F-4293-A5A3-91226F040185}">
            <x14:dataBar minLength="0" maxLength="100" gradient="0">
              <x14:cfvo type="num">
                <xm:f>0</xm:f>
              </x14:cfvo>
              <x14:cfvo type="num">
                <xm:f>1</xm:f>
              </x14:cfvo>
              <x14:negativeFillColor rgb="FFFF0000"/>
              <x14:axisColor rgb="FF000000"/>
            </x14:dataBar>
          </x14:cfRule>
          <xm:sqref>D36</xm:sqref>
        </x14:conditionalFormatting>
        <x14:conditionalFormatting xmlns:xm="http://schemas.microsoft.com/office/excel/2006/main">
          <x14:cfRule type="dataBar" id="{A5F32CBE-C80F-421E-A11C-A14533654FB2}">
            <x14:dataBar minLength="0" maxLength="100" gradient="0">
              <x14:cfvo type="num">
                <xm:f>0</xm:f>
              </x14:cfvo>
              <x14:cfvo type="num">
                <xm:f>1</xm:f>
              </x14:cfvo>
              <x14:negativeFillColor rgb="FFFF0000"/>
              <x14:axisColor rgb="FF000000"/>
            </x14:dataBar>
          </x14:cfRule>
          <xm:sqref>D34</xm:sqref>
        </x14:conditionalFormatting>
        <x14:conditionalFormatting xmlns:xm="http://schemas.microsoft.com/office/excel/2006/main">
          <x14:cfRule type="dataBar" id="{FF0BE140-068C-4513-B4C0-E809F73146BD}">
            <x14:dataBar minLength="0" maxLength="100" gradient="0">
              <x14:cfvo type="num">
                <xm:f>0</xm:f>
              </x14:cfvo>
              <x14:cfvo type="num">
                <xm:f>1</xm:f>
              </x14:cfvo>
              <x14:negativeFillColor rgb="FFFF0000"/>
              <x14:axisColor rgb="FF000000"/>
            </x14:dataBar>
          </x14:cfRule>
          <xm:sqref>D28</xm:sqref>
        </x14:conditionalFormatting>
        <x14:conditionalFormatting xmlns:xm="http://schemas.microsoft.com/office/excel/2006/main">
          <x14:cfRule type="dataBar" id="{44FF6AD8-703A-4172-9DC6-B47EBF8CA558}">
            <x14:dataBar minLength="0" maxLength="100" gradient="0">
              <x14:cfvo type="num">
                <xm:f>0</xm:f>
              </x14:cfvo>
              <x14:cfvo type="num">
                <xm:f>1</xm:f>
              </x14:cfvo>
              <x14:negativeFillColor rgb="FFFF0000"/>
              <x14:axisColor rgb="FF000000"/>
            </x14:dataBar>
          </x14:cfRule>
          <xm:sqref>D37</xm:sqref>
        </x14:conditionalFormatting>
        <x14:conditionalFormatting xmlns:xm="http://schemas.microsoft.com/office/excel/2006/main">
          <x14:cfRule type="dataBar" id="{A0FFBE70-A130-44F4-A8BE-0E5489333805}">
            <x14:dataBar minLength="0" maxLength="100" gradient="0">
              <x14:cfvo type="num">
                <xm:f>0</xm:f>
              </x14:cfvo>
              <x14:cfvo type="num">
                <xm:f>1</xm:f>
              </x14:cfvo>
              <x14:negativeFillColor rgb="FFFF0000"/>
              <x14:axisColor rgb="FF000000"/>
            </x14:dataBar>
          </x14:cfRule>
          <xm:sqref>D39</xm:sqref>
        </x14:conditionalFormatting>
        <x14:conditionalFormatting xmlns:xm="http://schemas.microsoft.com/office/excel/2006/main">
          <x14:cfRule type="dataBar" id="{84359B2E-287F-41ED-917A-36BF5708E686}">
            <x14:dataBar minLength="0" maxLength="100" gradient="0">
              <x14:cfvo type="num">
                <xm:f>0</xm:f>
              </x14:cfvo>
              <x14:cfvo type="num">
                <xm:f>1</xm:f>
              </x14:cfvo>
              <x14:negativeFillColor rgb="FFFF0000"/>
              <x14:axisColor rgb="FF000000"/>
            </x14:dataBar>
          </x14:cfRule>
          <xm:sqref>D35</xm:sqref>
        </x14:conditionalFormatting>
        <x14:conditionalFormatting xmlns:xm="http://schemas.microsoft.com/office/excel/2006/main">
          <x14:cfRule type="dataBar" id="{B1B7E5E5-F7D1-469E-887C-2A955EC20C3A}">
            <x14:dataBar minLength="0" maxLength="100" gradient="0">
              <x14:cfvo type="num">
                <xm:f>0</xm:f>
              </x14:cfvo>
              <x14:cfvo type="num">
                <xm:f>1</xm:f>
              </x14:cfvo>
              <x14:negativeFillColor rgb="FFFF0000"/>
              <x14:axisColor rgb="FF000000"/>
            </x14:dataBar>
          </x14:cfRule>
          <xm:sqref>D41</xm:sqref>
        </x14:conditionalFormatting>
        <x14:conditionalFormatting xmlns:xm="http://schemas.microsoft.com/office/excel/2006/main">
          <x14:cfRule type="dataBar" id="{ED373300-1F8E-4B0B-815F-F291A0D2AF82}">
            <x14:dataBar minLength="0" maxLength="100" gradient="0">
              <x14:cfvo type="num">
                <xm:f>0</xm:f>
              </x14:cfvo>
              <x14:cfvo type="num">
                <xm:f>1</xm:f>
              </x14:cfvo>
              <x14:negativeFillColor rgb="FFFF0000"/>
              <x14:axisColor rgb="FF000000"/>
            </x14:dataBar>
          </x14:cfRule>
          <xm:sqref>D43</xm:sqref>
        </x14:conditionalFormatting>
        <x14:conditionalFormatting xmlns:xm="http://schemas.microsoft.com/office/excel/2006/main">
          <x14:cfRule type="dataBar" id="{FE9168E4-05E5-4635-B880-871517FF5196}">
            <x14:dataBar minLength="0" maxLength="100" gradient="0">
              <x14:cfvo type="num">
                <xm:f>0</xm:f>
              </x14:cfvo>
              <x14:cfvo type="num">
                <xm:f>1</xm:f>
              </x14:cfvo>
              <x14:negativeFillColor rgb="FFFF0000"/>
              <x14:axisColor rgb="FF000000"/>
            </x14:dataBar>
          </x14:cfRule>
          <xm:sqref>D46</xm:sqref>
        </x14:conditionalFormatting>
        <x14:conditionalFormatting xmlns:xm="http://schemas.microsoft.com/office/excel/2006/main">
          <x14:cfRule type="dataBar" id="{FC9E45F9-1B62-466D-B9D7-DF5BC6B8124B}">
            <x14:dataBar minLength="0" maxLength="100" gradient="0">
              <x14:cfvo type="num">
                <xm:f>0</xm:f>
              </x14:cfvo>
              <x14:cfvo type="num">
                <xm:f>1</xm:f>
              </x14:cfvo>
              <x14:negativeFillColor rgb="FFFF0000"/>
              <x14:axisColor rgb="FF000000"/>
            </x14:dataBar>
          </x14:cfRule>
          <xm:sqref>D47</xm:sqref>
        </x14:conditionalFormatting>
        <x14:conditionalFormatting xmlns:xm="http://schemas.microsoft.com/office/excel/2006/main">
          <x14:cfRule type="dataBar" id="{6D77E73C-6A87-4AB6-8CE2-074C9892D309}">
            <x14:dataBar minLength="0" maxLength="100" gradient="0">
              <x14:cfvo type="num">
                <xm:f>0</xm:f>
              </x14:cfvo>
              <x14:cfvo type="num">
                <xm:f>1</xm:f>
              </x14:cfvo>
              <x14:negativeFillColor rgb="FFFF0000"/>
              <x14:axisColor rgb="FF000000"/>
            </x14:dataBar>
          </x14:cfRule>
          <xm:sqref>D48</xm:sqref>
        </x14:conditionalFormatting>
        <x14:conditionalFormatting xmlns:xm="http://schemas.microsoft.com/office/excel/2006/main">
          <x14:cfRule type="dataBar" id="{023629D1-A3AC-4956-AB9A-EFFEFA649F2A}">
            <x14:dataBar minLength="0" maxLength="100" gradient="0">
              <x14:cfvo type="num">
                <xm:f>0</xm:f>
              </x14:cfvo>
              <x14:cfvo type="num">
                <xm:f>1</xm:f>
              </x14:cfvo>
              <x14:negativeFillColor rgb="FFFF0000"/>
              <x14:axisColor rgb="FF000000"/>
            </x14:dataBar>
          </x14:cfRule>
          <xm:sqref>D50</xm:sqref>
        </x14:conditionalFormatting>
        <x14:conditionalFormatting xmlns:xm="http://schemas.microsoft.com/office/excel/2006/main">
          <x14:cfRule type="dataBar" id="{5206462F-C478-4451-95D7-96C095673A18}">
            <x14:dataBar minLength="0" maxLength="100" gradient="0">
              <x14:cfvo type="num">
                <xm:f>0</xm:f>
              </x14:cfvo>
              <x14:cfvo type="num">
                <xm:f>1</xm:f>
              </x14:cfvo>
              <x14:negativeFillColor rgb="FFFF0000"/>
              <x14:axisColor rgb="FF000000"/>
            </x14:dataBar>
          </x14:cfRule>
          <xm:sqref>D49</xm:sqref>
        </x14:conditionalFormatting>
        <x14:conditionalFormatting xmlns:xm="http://schemas.microsoft.com/office/excel/2006/main">
          <x14:cfRule type="dataBar" id="{7E36976B-32A0-4E82-AE73-1534E1A2E7CB}">
            <x14:dataBar minLength="0" maxLength="100" gradient="0">
              <x14:cfvo type="num">
                <xm:f>0</xm:f>
              </x14:cfvo>
              <x14:cfvo type="num">
                <xm:f>1</xm:f>
              </x14:cfvo>
              <x14:negativeFillColor rgb="FFFF0000"/>
              <x14:axisColor rgb="FF000000"/>
            </x14:dataBar>
          </x14:cfRule>
          <xm:sqref>D51</xm:sqref>
        </x14:conditionalFormatting>
        <x14:conditionalFormatting xmlns:xm="http://schemas.microsoft.com/office/excel/2006/main">
          <x14:cfRule type="dataBar" id="{ED8513F2-7E38-493A-A127-019F391E72B5}">
            <x14:dataBar minLength="0" maxLength="100" gradient="0">
              <x14:cfvo type="num">
                <xm:f>0</xm:f>
              </x14:cfvo>
              <x14:cfvo type="num">
                <xm:f>1</xm:f>
              </x14:cfvo>
              <x14:negativeFillColor rgb="FFFF0000"/>
              <x14:axisColor rgb="FF000000"/>
            </x14:dataBar>
          </x14:cfRule>
          <xm:sqref>D54</xm:sqref>
        </x14:conditionalFormatting>
        <x14:conditionalFormatting xmlns:xm="http://schemas.microsoft.com/office/excel/2006/main">
          <x14:cfRule type="dataBar" id="{77C9E417-3877-47BA-9AC4-A102E0A51B7D}">
            <x14:dataBar minLength="0" maxLength="100" gradient="0">
              <x14:cfvo type="num">
                <xm:f>0</xm:f>
              </x14:cfvo>
              <x14:cfvo type="num">
                <xm:f>1</xm:f>
              </x14:cfvo>
              <x14:negativeFillColor rgb="FFFF0000"/>
              <x14:axisColor rgb="FF000000"/>
            </x14:dataBar>
          </x14:cfRule>
          <xm:sqref>D56</xm:sqref>
        </x14:conditionalFormatting>
        <x14:conditionalFormatting xmlns:xm="http://schemas.microsoft.com/office/excel/2006/main">
          <x14:cfRule type="dataBar" id="{A1029EBD-9EAE-4E1E-A9FF-7CBF6451BA00}">
            <x14:dataBar minLength="0" maxLength="100" gradient="0">
              <x14:cfvo type="num">
                <xm:f>0</xm:f>
              </x14:cfvo>
              <x14:cfvo type="num">
                <xm:f>1</xm:f>
              </x14:cfvo>
              <x14:negativeFillColor rgb="FFFF0000"/>
              <x14:axisColor rgb="FF000000"/>
            </x14:dataBar>
          </x14:cfRule>
          <xm:sqref>D55</xm:sqref>
        </x14:conditionalFormatting>
        <x14:conditionalFormatting xmlns:xm="http://schemas.microsoft.com/office/excel/2006/main">
          <x14:cfRule type="dataBar" id="{1032AF44-15E0-42DD-8467-D859BA98F9DA}">
            <x14:dataBar minLength="0" maxLength="100" gradient="0">
              <x14:cfvo type="num">
                <xm:f>0</xm:f>
              </x14:cfvo>
              <x14:cfvo type="num">
                <xm:f>1</xm:f>
              </x14:cfvo>
              <x14:negativeFillColor rgb="FFFF0000"/>
              <x14:axisColor rgb="FF000000"/>
            </x14:dataBar>
          </x14:cfRule>
          <xm:sqref>D57</xm:sqref>
        </x14:conditionalFormatting>
        <x14:conditionalFormatting xmlns:xm="http://schemas.microsoft.com/office/excel/2006/main">
          <x14:cfRule type="dataBar" id="{7DE5DC2A-C454-47F0-9928-16C0D999E105}">
            <x14:dataBar minLength="0" maxLength="100" gradient="0">
              <x14:cfvo type="num">
                <xm:f>0</xm:f>
              </x14:cfvo>
              <x14:cfvo type="num">
                <xm:f>1</xm:f>
              </x14:cfvo>
              <x14:negativeFillColor rgb="FFFF0000"/>
              <x14:axisColor rgb="FF000000"/>
            </x14:dataBar>
          </x14:cfRule>
          <xm:sqref>D59</xm:sqref>
        </x14:conditionalFormatting>
        <x14:conditionalFormatting xmlns:xm="http://schemas.microsoft.com/office/excel/2006/main">
          <x14:cfRule type="dataBar" id="{B917B205-C506-44AF-9841-C39EB23032ED}">
            <x14:dataBar minLength="0" maxLength="100" gradient="0">
              <x14:cfvo type="num">
                <xm:f>0</xm:f>
              </x14:cfvo>
              <x14:cfvo type="num">
                <xm:f>1</xm:f>
              </x14:cfvo>
              <x14:negativeFillColor rgb="FFFF0000"/>
              <x14:axisColor rgb="FF000000"/>
            </x14:dataBar>
          </x14:cfRule>
          <xm:sqref>D58</xm:sqref>
        </x14:conditionalFormatting>
        <x14:conditionalFormatting xmlns:xm="http://schemas.microsoft.com/office/excel/2006/main">
          <x14:cfRule type="dataBar" id="{35F0DD7A-73D1-494C-9E14-32AFAE9CD789}">
            <x14:dataBar minLength="0" maxLength="100" gradient="0">
              <x14:cfvo type="num">
                <xm:f>0</xm:f>
              </x14:cfvo>
              <x14:cfvo type="num">
                <xm:f>1</xm:f>
              </x14:cfvo>
              <x14:negativeFillColor rgb="FFFF0000"/>
              <x14:axisColor rgb="FF000000"/>
            </x14:dataBar>
          </x14:cfRule>
          <xm:sqref>D60</xm:sqref>
        </x14:conditionalFormatting>
        <x14:conditionalFormatting xmlns:xm="http://schemas.microsoft.com/office/excel/2006/main">
          <x14:cfRule type="dataBar" id="{F299CC38-D414-4D44-9BBA-0246B6FD84A0}">
            <x14:dataBar minLength="0" maxLength="100" gradient="0">
              <x14:cfvo type="num">
                <xm:f>0</xm:f>
              </x14:cfvo>
              <x14:cfvo type="num">
                <xm:f>1</xm:f>
              </x14:cfvo>
              <x14:negativeFillColor rgb="FFFF0000"/>
              <x14:axisColor rgb="FF000000"/>
            </x14:dataBar>
          </x14:cfRule>
          <xm:sqref>D62</xm:sqref>
        </x14:conditionalFormatting>
        <x14:conditionalFormatting xmlns:xm="http://schemas.microsoft.com/office/excel/2006/main">
          <x14:cfRule type="dataBar" id="{3FD9960A-6897-4A6B-A17D-3D9A2D38BAFB}">
            <x14:dataBar minLength="0" maxLength="100" gradient="0">
              <x14:cfvo type="num">
                <xm:f>0</xm:f>
              </x14:cfvo>
              <x14:cfvo type="num">
                <xm:f>1</xm:f>
              </x14:cfvo>
              <x14:negativeFillColor rgb="FFFF0000"/>
              <x14:axisColor rgb="FF000000"/>
            </x14:dataBar>
          </x14:cfRule>
          <xm:sqref>D61</xm:sqref>
        </x14:conditionalFormatting>
        <x14:conditionalFormatting xmlns:xm="http://schemas.microsoft.com/office/excel/2006/main">
          <x14:cfRule type="dataBar" id="{0092103B-89C7-4B47-AADB-9EA9CA19AC4B}">
            <x14:dataBar minLength="0" maxLength="100" gradient="0">
              <x14:cfvo type="num">
                <xm:f>0</xm:f>
              </x14:cfvo>
              <x14:cfvo type="num">
                <xm:f>1</xm:f>
              </x14:cfvo>
              <x14:negativeFillColor rgb="FFFF0000"/>
              <x14:axisColor rgb="FF000000"/>
            </x14:dataBar>
          </x14:cfRule>
          <xm:sqref>D63</xm:sqref>
        </x14:conditionalFormatting>
        <x14:conditionalFormatting xmlns:xm="http://schemas.microsoft.com/office/excel/2006/main">
          <x14:cfRule type="dataBar" id="{A3D4A31B-5333-4A5E-A2A2-2FA5AB3979B7}">
            <x14:dataBar minLength="0" maxLength="100" gradient="0">
              <x14:cfvo type="num">
                <xm:f>0</xm:f>
              </x14:cfvo>
              <x14:cfvo type="num">
                <xm:f>1</xm:f>
              </x14:cfvo>
              <x14:negativeFillColor rgb="FFFF0000"/>
              <x14:axisColor rgb="FF000000"/>
            </x14:dataBar>
          </x14:cfRule>
          <xm:sqref>D65</xm:sqref>
        </x14:conditionalFormatting>
        <x14:conditionalFormatting xmlns:xm="http://schemas.microsoft.com/office/excel/2006/main">
          <x14:cfRule type="dataBar" id="{B4C93C3F-A431-4383-9B50-5CE63492506A}">
            <x14:dataBar minLength="0" maxLength="100" gradient="0">
              <x14:cfvo type="num">
                <xm:f>0</xm:f>
              </x14:cfvo>
              <x14:cfvo type="num">
                <xm:f>1</xm:f>
              </x14:cfvo>
              <x14:negativeFillColor rgb="FFFF0000"/>
              <x14:axisColor rgb="FF000000"/>
            </x14:dataBar>
          </x14:cfRule>
          <xm:sqref>D64</xm:sqref>
        </x14:conditionalFormatting>
        <x14:conditionalFormatting xmlns:xm="http://schemas.microsoft.com/office/excel/2006/main">
          <x14:cfRule type="dataBar" id="{DBC7FDA9-7B94-4C6C-AED9-20EAFC0E61E9}">
            <x14:dataBar minLength="0" maxLength="100" gradient="0">
              <x14:cfvo type="num">
                <xm:f>0</xm:f>
              </x14:cfvo>
              <x14:cfvo type="num">
                <xm:f>1</xm:f>
              </x14:cfvo>
              <x14:negativeFillColor rgb="FFFF0000"/>
              <x14:axisColor rgb="FF000000"/>
            </x14:dataBar>
          </x14:cfRule>
          <xm:sqref>D66</xm:sqref>
        </x14:conditionalFormatting>
        <x14:conditionalFormatting xmlns:xm="http://schemas.microsoft.com/office/excel/2006/main">
          <x14:cfRule type="dataBar" id="{385A73FD-4117-4813-A8AE-1E1B054786D3}">
            <x14:dataBar minLength="0" maxLength="100" gradient="0">
              <x14:cfvo type="num">
                <xm:f>0</xm:f>
              </x14:cfvo>
              <x14:cfvo type="num">
                <xm:f>1</xm:f>
              </x14:cfvo>
              <x14:negativeFillColor rgb="FFFF0000"/>
              <x14:axisColor rgb="FF000000"/>
            </x14:dataBar>
          </x14:cfRule>
          <xm:sqref>D67</xm:sqref>
        </x14:conditionalFormatting>
        <x14:conditionalFormatting xmlns:xm="http://schemas.microsoft.com/office/excel/2006/main">
          <x14:cfRule type="dataBar" id="{08164B16-6158-4BA4-BB00-35E8B9DBDCC1}">
            <x14:dataBar minLength="0" maxLength="100" gradient="0">
              <x14:cfvo type="num">
                <xm:f>0</xm:f>
              </x14:cfvo>
              <x14:cfvo type="num">
                <xm:f>1</xm:f>
              </x14:cfvo>
              <x14:negativeFillColor rgb="FFFF0000"/>
              <x14:axisColor rgb="FF000000"/>
            </x14:dataBar>
          </x14:cfRule>
          <xm:sqref>D69</xm:sqref>
        </x14:conditionalFormatting>
        <x14:conditionalFormatting xmlns:xm="http://schemas.microsoft.com/office/excel/2006/main">
          <x14:cfRule type="dataBar" id="{6AD598C3-1BDC-43B5-9C21-7E2CC3DE4446}">
            <x14:dataBar minLength="0" maxLength="100" gradient="0">
              <x14:cfvo type="num">
                <xm:f>0</xm:f>
              </x14:cfvo>
              <x14:cfvo type="num">
                <xm:f>1</xm:f>
              </x14:cfvo>
              <x14:negativeFillColor rgb="FFFF0000"/>
              <x14:axisColor rgb="FF000000"/>
            </x14:dataBar>
          </x14:cfRule>
          <xm:sqref>D68</xm:sqref>
        </x14:conditionalFormatting>
        <x14:conditionalFormatting xmlns:xm="http://schemas.microsoft.com/office/excel/2006/main">
          <x14:cfRule type="dataBar" id="{B0448750-ADC1-465F-91FD-1A6892E9ECBB}">
            <x14:dataBar minLength="0" maxLength="100" gradient="0">
              <x14:cfvo type="num">
                <xm:f>0</xm:f>
              </x14:cfvo>
              <x14:cfvo type="num">
                <xm:f>1</xm:f>
              </x14:cfvo>
              <x14:negativeFillColor rgb="FFFF0000"/>
              <x14:axisColor rgb="FF000000"/>
            </x14:dataBar>
          </x14:cfRule>
          <xm:sqref>D71</xm:sqref>
        </x14:conditionalFormatting>
        <x14:conditionalFormatting xmlns:xm="http://schemas.microsoft.com/office/excel/2006/main">
          <x14:cfRule type="dataBar" id="{A006D97D-ACF3-47F0-A78E-8BD047EDE515}">
            <x14:dataBar minLength="0" maxLength="100" gradient="0">
              <x14:cfvo type="num">
                <xm:f>0</xm:f>
              </x14:cfvo>
              <x14:cfvo type="num">
                <xm:f>1</xm:f>
              </x14:cfvo>
              <x14:negativeFillColor rgb="FFFF0000"/>
              <x14:axisColor rgb="FF000000"/>
            </x14:dataBar>
          </x14:cfRule>
          <xm:sqref>D70</xm:sqref>
        </x14:conditionalFormatting>
        <x14:conditionalFormatting xmlns:xm="http://schemas.microsoft.com/office/excel/2006/main">
          <x14:cfRule type="dataBar" id="{902FB659-01C0-42CC-A483-3E7F28FD1446}">
            <x14:dataBar minLength="0" maxLength="100" gradient="0">
              <x14:cfvo type="num">
                <xm:f>0</xm:f>
              </x14:cfvo>
              <x14:cfvo type="num">
                <xm:f>1</xm:f>
              </x14:cfvo>
              <x14:negativeFillColor rgb="FFFF0000"/>
              <x14:axisColor rgb="FF000000"/>
            </x14:dataBar>
          </x14:cfRule>
          <xm:sqref>D75</xm:sqref>
        </x14:conditionalFormatting>
        <x14:conditionalFormatting xmlns:xm="http://schemas.microsoft.com/office/excel/2006/main">
          <x14:cfRule type="dataBar" id="{2EF00BD4-6D42-4991-B94D-FD87217E6162}">
            <x14:dataBar minLength="0" maxLength="100" gradient="0">
              <x14:cfvo type="num">
                <xm:f>0</xm:f>
              </x14:cfvo>
              <x14:cfvo type="num">
                <xm:f>1</xm:f>
              </x14:cfvo>
              <x14:negativeFillColor rgb="FFFF0000"/>
              <x14:axisColor rgb="FF000000"/>
            </x14:dataBar>
          </x14:cfRule>
          <xm:sqref>D77</xm:sqref>
        </x14:conditionalFormatting>
        <x14:conditionalFormatting xmlns:xm="http://schemas.microsoft.com/office/excel/2006/main">
          <x14:cfRule type="dataBar" id="{F0459694-2A1C-4C0A-AFCF-8FF61A0033E8}">
            <x14:dataBar minLength="0" maxLength="100" gradient="0">
              <x14:cfvo type="num">
                <xm:f>0</xm:f>
              </x14:cfvo>
              <x14:cfvo type="num">
                <xm:f>1</xm:f>
              </x14:cfvo>
              <x14:negativeFillColor rgb="FFFF0000"/>
              <x14:axisColor rgb="FF000000"/>
            </x14:dataBar>
          </x14:cfRule>
          <xm:sqref>D76</xm:sqref>
        </x14:conditionalFormatting>
        <x14:conditionalFormatting xmlns:xm="http://schemas.microsoft.com/office/excel/2006/main">
          <x14:cfRule type="dataBar" id="{6496EB11-4725-477D-9EF7-E50F81D82FA4}">
            <x14:dataBar minLength="0" maxLength="100" gradient="0">
              <x14:cfvo type="num">
                <xm:f>0</xm:f>
              </x14:cfvo>
              <x14:cfvo type="num">
                <xm:f>1</xm:f>
              </x14:cfvo>
              <x14:negativeFillColor rgb="FFFF0000"/>
              <x14:axisColor rgb="FF000000"/>
            </x14:dataBar>
          </x14:cfRule>
          <xm:sqref>D78</xm:sqref>
        </x14:conditionalFormatting>
        <x14:conditionalFormatting xmlns:xm="http://schemas.microsoft.com/office/excel/2006/main">
          <x14:cfRule type="dataBar" id="{EE067378-C3C2-41BA-A050-FCC677FA4079}">
            <x14:dataBar minLength="0" maxLength="100" gradient="0">
              <x14:cfvo type="num">
                <xm:f>0</xm:f>
              </x14:cfvo>
              <x14:cfvo type="num">
                <xm:f>1</xm:f>
              </x14:cfvo>
              <x14:negativeFillColor rgb="FFFF0000"/>
              <x14:axisColor rgb="FF000000"/>
            </x14:dataBar>
          </x14:cfRule>
          <xm:sqref>D79</xm:sqref>
        </x14:conditionalFormatting>
        <x14:conditionalFormatting xmlns:xm="http://schemas.microsoft.com/office/excel/2006/main">
          <x14:cfRule type="dataBar" id="{89709BDF-D366-43FA-A68A-762ED513E461}">
            <x14:dataBar minLength="0" maxLength="100" gradient="0">
              <x14:cfvo type="num">
                <xm:f>0</xm:f>
              </x14:cfvo>
              <x14:cfvo type="num">
                <xm:f>1</xm:f>
              </x14:cfvo>
              <x14:negativeFillColor rgb="FFFF0000"/>
              <x14:axisColor rgb="FF000000"/>
            </x14:dataBar>
          </x14:cfRule>
          <xm:sqref>D81</xm:sqref>
        </x14:conditionalFormatting>
        <x14:conditionalFormatting xmlns:xm="http://schemas.microsoft.com/office/excel/2006/main">
          <x14:cfRule type="dataBar" id="{59C3CCF8-0FF5-467B-A81C-7246B461BF44}">
            <x14:dataBar minLength="0" maxLength="100" gradient="0">
              <x14:cfvo type="num">
                <xm:f>0</xm:f>
              </x14:cfvo>
              <x14:cfvo type="num">
                <xm:f>1</xm:f>
              </x14:cfvo>
              <x14:negativeFillColor rgb="FFFF0000"/>
              <x14:axisColor rgb="FF000000"/>
            </x14:dataBar>
          </x14:cfRule>
          <xm:sqref>D80</xm:sqref>
        </x14:conditionalFormatting>
        <x14:conditionalFormatting xmlns:xm="http://schemas.microsoft.com/office/excel/2006/main">
          <x14:cfRule type="dataBar" id="{B252FE96-8167-46D2-9D26-5D966005DA42}">
            <x14:dataBar minLength="0" maxLength="100" gradient="0">
              <x14:cfvo type="num">
                <xm:f>0</xm:f>
              </x14:cfvo>
              <x14:cfvo type="num">
                <xm:f>1</xm:f>
              </x14:cfvo>
              <x14:negativeFillColor rgb="FFFF0000"/>
              <x14:axisColor rgb="FF000000"/>
            </x14:dataBar>
          </x14:cfRule>
          <xm:sqref>D83</xm:sqref>
        </x14:conditionalFormatting>
        <x14:conditionalFormatting xmlns:xm="http://schemas.microsoft.com/office/excel/2006/main">
          <x14:cfRule type="dataBar" id="{53373FE8-4EB7-4416-ABFA-C9E585D6B14A}">
            <x14:dataBar minLength="0" maxLength="100" gradient="0">
              <x14:cfvo type="num">
                <xm:f>0</xm:f>
              </x14:cfvo>
              <x14:cfvo type="num">
                <xm:f>1</xm:f>
              </x14:cfvo>
              <x14:negativeFillColor rgb="FFFF0000"/>
              <x14:axisColor rgb="FF000000"/>
            </x14:dataBar>
          </x14:cfRule>
          <xm:sqref>D82</xm:sqref>
        </x14:conditionalFormatting>
        <x14:conditionalFormatting xmlns:xm="http://schemas.microsoft.com/office/excel/2006/main">
          <x14:cfRule type="dataBar" id="{093AF43F-A3F9-4359-AD57-50CD46F7CDDE}">
            <x14:dataBar minLength="0" maxLength="100" gradient="0">
              <x14:cfvo type="num">
                <xm:f>0</xm:f>
              </x14:cfvo>
              <x14:cfvo type="num">
                <xm:f>1</xm:f>
              </x14:cfvo>
              <x14:negativeFillColor rgb="FFFF0000"/>
              <x14:axisColor rgb="FF000000"/>
            </x14:dataBar>
          </x14:cfRule>
          <xm:sqref>D84</xm:sqref>
        </x14:conditionalFormatting>
        <x14:conditionalFormatting xmlns:xm="http://schemas.microsoft.com/office/excel/2006/main">
          <x14:cfRule type="dataBar" id="{E6E79529-4E13-4310-A8A1-5E59A4544D6F}">
            <x14:dataBar minLength="0" maxLength="100" gradient="0">
              <x14:cfvo type="num">
                <xm:f>0</xm:f>
              </x14:cfvo>
              <x14:cfvo type="num">
                <xm:f>1</xm:f>
              </x14:cfvo>
              <x14:negativeFillColor rgb="FFFF0000"/>
              <x14:axisColor rgb="FF000000"/>
            </x14:dataBar>
          </x14:cfRule>
          <xm:sqref>D85</xm:sqref>
        </x14:conditionalFormatting>
        <x14:conditionalFormatting xmlns:xm="http://schemas.microsoft.com/office/excel/2006/main">
          <x14:cfRule type="dataBar" id="{6AECCE72-6DCA-4E56-A613-7AD71A8A86A0}">
            <x14:dataBar minLength="0" maxLength="100" gradient="0">
              <x14:cfvo type="num">
                <xm:f>0</xm:f>
              </x14:cfvo>
              <x14:cfvo type="num">
                <xm:f>1</xm:f>
              </x14:cfvo>
              <x14:negativeFillColor rgb="FFFF0000"/>
              <x14:axisColor rgb="FF000000"/>
            </x14:dataBar>
          </x14:cfRule>
          <xm:sqref>D86</xm:sqref>
        </x14:conditionalFormatting>
        <x14:conditionalFormatting xmlns:xm="http://schemas.microsoft.com/office/excel/2006/main">
          <x14:cfRule type="dataBar" id="{165B3956-E302-46DB-96E3-E318F408832C}">
            <x14:dataBar minLength="0" maxLength="100" gradient="0">
              <x14:cfvo type="num">
                <xm:f>0</xm:f>
              </x14:cfvo>
              <x14:cfvo type="num">
                <xm:f>1</xm:f>
              </x14:cfvo>
              <x14:negativeFillColor rgb="FFFF0000"/>
              <x14:axisColor rgb="FF000000"/>
            </x14:dataBar>
          </x14:cfRule>
          <xm:sqref>D88</xm:sqref>
        </x14:conditionalFormatting>
        <x14:conditionalFormatting xmlns:xm="http://schemas.microsoft.com/office/excel/2006/main">
          <x14:cfRule type="dataBar" id="{5C0CC4A6-63C3-4A06-90FA-F3CFC0993459}">
            <x14:dataBar minLength="0" maxLength="100" gradient="0">
              <x14:cfvo type="num">
                <xm:f>0</xm:f>
              </x14:cfvo>
              <x14:cfvo type="num">
                <xm:f>1</xm:f>
              </x14:cfvo>
              <x14:negativeFillColor rgb="FFFF0000"/>
              <x14:axisColor rgb="FF000000"/>
            </x14:dataBar>
          </x14:cfRule>
          <xm:sqref>D87</xm:sqref>
        </x14:conditionalFormatting>
        <x14:conditionalFormatting xmlns:xm="http://schemas.microsoft.com/office/excel/2006/main">
          <x14:cfRule type="dataBar" id="{7A58CA9E-61C3-457A-ABD3-D1DA12E8859A}">
            <x14:dataBar minLength="0" maxLength="100" gradient="0">
              <x14:cfvo type="num">
                <xm:f>0</xm:f>
              </x14:cfvo>
              <x14:cfvo type="num">
                <xm:f>1</xm:f>
              </x14:cfvo>
              <x14:negativeFillColor rgb="FFFF0000"/>
              <x14:axisColor rgb="FF000000"/>
            </x14:dataBar>
          </x14:cfRule>
          <xm:sqref>D89</xm:sqref>
        </x14:conditionalFormatting>
        <x14:conditionalFormatting xmlns:xm="http://schemas.microsoft.com/office/excel/2006/main">
          <x14:cfRule type="dataBar" id="{6B5902D7-CB6D-4A0E-93A2-1898FE336388}">
            <x14:dataBar minLength="0" maxLength="100" gradient="0">
              <x14:cfvo type="num">
                <xm:f>0</xm:f>
              </x14:cfvo>
              <x14:cfvo type="num">
                <xm:f>1</xm:f>
              </x14:cfvo>
              <x14:negativeFillColor rgb="FFFF0000"/>
              <x14:axisColor rgb="FF000000"/>
            </x14:dataBar>
          </x14:cfRule>
          <xm:sqref>D90</xm:sqref>
        </x14:conditionalFormatting>
        <x14:conditionalFormatting xmlns:xm="http://schemas.microsoft.com/office/excel/2006/main">
          <x14:cfRule type="dataBar" id="{EA7E397D-2E51-4CEA-8060-8A2362BE6A96}">
            <x14:dataBar minLength="0" maxLength="100" gradient="0">
              <x14:cfvo type="num">
                <xm:f>0</xm:f>
              </x14:cfvo>
              <x14:cfvo type="num">
                <xm:f>1</xm:f>
              </x14:cfvo>
              <x14:negativeFillColor rgb="FFFF0000"/>
              <x14:axisColor rgb="FF000000"/>
            </x14:dataBar>
          </x14:cfRule>
          <xm:sqref>D92</xm:sqref>
        </x14:conditionalFormatting>
        <x14:conditionalFormatting xmlns:xm="http://schemas.microsoft.com/office/excel/2006/main">
          <x14:cfRule type="dataBar" id="{04CDF161-E257-47A0-8DFE-8D0E59D0F26B}">
            <x14:dataBar minLength="0" maxLength="100" gradient="0">
              <x14:cfvo type="num">
                <xm:f>0</xm:f>
              </x14:cfvo>
              <x14:cfvo type="num">
                <xm:f>1</xm:f>
              </x14:cfvo>
              <x14:negativeFillColor rgb="FFFF0000"/>
              <x14:axisColor rgb="FF000000"/>
            </x14:dataBar>
          </x14:cfRule>
          <xm:sqref>D91</xm:sqref>
        </x14:conditionalFormatting>
        <x14:conditionalFormatting xmlns:xm="http://schemas.microsoft.com/office/excel/2006/main">
          <x14:cfRule type="dataBar" id="{AAFEFF09-3E33-4BEC-8EBD-284295E9BC5B}">
            <x14:dataBar minLength="0" maxLength="100" gradient="0">
              <x14:cfvo type="num">
                <xm:f>0</xm:f>
              </x14:cfvo>
              <x14:cfvo type="num">
                <xm:f>1</xm:f>
              </x14:cfvo>
              <x14:negativeFillColor rgb="FFFF0000"/>
              <x14:axisColor rgb="FF000000"/>
            </x14:dataBar>
          </x14:cfRule>
          <xm:sqref>D94</xm:sqref>
        </x14:conditionalFormatting>
        <x14:conditionalFormatting xmlns:xm="http://schemas.microsoft.com/office/excel/2006/main">
          <x14:cfRule type="dataBar" id="{FBA43F0E-6E7F-4BD2-A7D1-E1CA97436756}">
            <x14:dataBar minLength="0" maxLength="100" gradient="0">
              <x14:cfvo type="num">
                <xm:f>0</xm:f>
              </x14:cfvo>
              <x14:cfvo type="num">
                <xm:f>1</xm:f>
              </x14:cfvo>
              <x14:negativeFillColor rgb="FFFF0000"/>
              <x14:axisColor rgb="FF000000"/>
            </x14:dataBar>
          </x14:cfRule>
          <xm:sqref>D93</xm:sqref>
        </x14:conditionalFormatting>
        <x14:conditionalFormatting xmlns:xm="http://schemas.microsoft.com/office/excel/2006/main">
          <x14:cfRule type="dataBar" id="{67621224-A9EB-4B6F-941A-E6EDD45A1127}">
            <x14:dataBar minLength="0" maxLength="100" gradient="0">
              <x14:cfvo type="num">
                <xm:f>0</xm:f>
              </x14:cfvo>
              <x14:cfvo type="num">
                <xm:f>1</xm:f>
              </x14:cfvo>
              <x14:negativeFillColor rgb="FFFF0000"/>
              <x14:axisColor rgb="FF000000"/>
            </x14:dataBar>
          </x14:cfRule>
          <xm:sqref>D95</xm:sqref>
        </x14:conditionalFormatting>
        <x14:conditionalFormatting xmlns:xm="http://schemas.microsoft.com/office/excel/2006/main">
          <x14:cfRule type="dataBar" id="{E41819C5-DE6D-4F02-A801-97B06EBEB74A}">
            <x14:dataBar minLength="0" maxLength="100" gradient="0">
              <x14:cfvo type="num">
                <xm:f>0</xm:f>
              </x14:cfvo>
              <x14:cfvo type="num">
                <xm:f>1</xm:f>
              </x14:cfvo>
              <x14:negativeFillColor rgb="FFFF0000"/>
              <x14:axisColor rgb="FF000000"/>
            </x14:dataBar>
          </x14:cfRule>
          <xm:sqref>D97</xm:sqref>
        </x14:conditionalFormatting>
        <x14:conditionalFormatting xmlns:xm="http://schemas.microsoft.com/office/excel/2006/main">
          <x14:cfRule type="dataBar" id="{EC86A341-02FC-4F96-B414-1D5BA2089C09}">
            <x14:dataBar minLength="0" maxLength="100" gradient="0">
              <x14:cfvo type="num">
                <xm:f>0</xm:f>
              </x14:cfvo>
              <x14:cfvo type="num">
                <xm:f>1</xm:f>
              </x14:cfvo>
              <x14:negativeFillColor rgb="FFFF0000"/>
              <x14:axisColor rgb="FF000000"/>
            </x14:dataBar>
          </x14:cfRule>
          <xm:sqref>D99</xm:sqref>
        </x14:conditionalFormatting>
        <x14:conditionalFormatting xmlns:xm="http://schemas.microsoft.com/office/excel/2006/main">
          <x14:cfRule type="dataBar" id="{BF7AE6A7-2F6E-419D-B6FB-EC0700FA3CA3}">
            <x14:dataBar minLength="0" maxLength="100" gradient="0">
              <x14:cfvo type="num">
                <xm:f>0</xm:f>
              </x14:cfvo>
              <x14:cfvo type="num">
                <xm:f>1</xm:f>
              </x14:cfvo>
              <x14:negativeFillColor rgb="FFFF0000"/>
              <x14:axisColor rgb="FF000000"/>
            </x14:dataBar>
          </x14:cfRule>
          <xm:sqref>D98</xm:sqref>
        </x14:conditionalFormatting>
        <x14:conditionalFormatting xmlns:xm="http://schemas.microsoft.com/office/excel/2006/main">
          <x14:cfRule type="dataBar" id="{375BC1F4-FB71-4F13-9628-9638EB9A84CF}">
            <x14:dataBar minLength="0" maxLength="100" gradient="0">
              <x14:cfvo type="num">
                <xm:f>0</xm:f>
              </x14:cfvo>
              <x14:cfvo type="num">
                <xm:f>1</xm:f>
              </x14:cfvo>
              <x14:negativeFillColor rgb="FFFF0000"/>
              <x14:axisColor rgb="FF000000"/>
            </x14:dataBar>
          </x14:cfRule>
          <xm:sqref>D100</xm:sqref>
        </x14:conditionalFormatting>
        <x14:conditionalFormatting xmlns:xm="http://schemas.microsoft.com/office/excel/2006/main">
          <x14:cfRule type="dataBar" id="{776484C2-8638-4DEB-80AF-2A42163EAF5F}">
            <x14:dataBar minLength="0" maxLength="100" gradient="0">
              <x14:cfvo type="num">
                <xm:f>0</xm:f>
              </x14:cfvo>
              <x14:cfvo type="num">
                <xm:f>1</xm:f>
              </x14:cfvo>
              <x14:negativeFillColor rgb="FFFF0000"/>
              <x14:axisColor rgb="FF000000"/>
            </x14:dataBar>
          </x14:cfRule>
          <xm:sqref>D101</xm:sqref>
        </x14:conditionalFormatting>
        <x14:conditionalFormatting xmlns:xm="http://schemas.microsoft.com/office/excel/2006/main">
          <x14:cfRule type="dataBar" id="{DDF998B1-4841-4F0E-9137-9C5A6DD22941}">
            <x14:dataBar minLength="0" maxLength="100" gradient="0">
              <x14:cfvo type="num">
                <xm:f>0</xm:f>
              </x14:cfvo>
              <x14:cfvo type="num">
                <xm:f>1</xm:f>
              </x14:cfvo>
              <x14:negativeFillColor rgb="FFFF0000"/>
              <x14:axisColor rgb="FF000000"/>
            </x14:dataBar>
          </x14:cfRule>
          <xm:sqref>D103</xm:sqref>
        </x14:conditionalFormatting>
        <x14:conditionalFormatting xmlns:xm="http://schemas.microsoft.com/office/excel/2006/main">
          <x14:cfRule type="dataBar" id="{11D835C9-9A33-40C9-979C-5DE7C08F31DC}">
            <x14:dataBar minLength="0" maxLength="100" gradient="0">
              <x14:cfvo type="num">
                <xm:f>0</xm:f>
              </x14:cfvo>
              <x14:cfvo type="num">
                <xm:f>1</xm:f>
              </x14:cfvo>
              <x14:negativeFillColor rgb="FFFF0000"/>
              <x14:axisColor rgb="FF000000"/>
            </x14:dataBar>
          </x14:cfRule>
          <xm:sqref>D102</xm:sqref>
        </x14:conditionalFormatting>
        <x14:conditionalFormatting xmlns:xm="http://schemas.microsoft.com/office/excel/2006/main">
          <x14:cfRule type="dataBar" id="{8FCCA79C-4821-4DCA-9E66-F83A1C658B2A}">
            <x14:dataBar minLength="0" maxLength="100" gradient="0">
              <x14:cfvo type="num">
                <xm:f>0</xm:f>
              </x14:cfvo>
              <x14:cfvo type="num">
                <xm:f>1</xm:f>
              </x14:cfvo>
              <x14:negativeFillColor rgb="FFFF0000"/>
              <x14:axisColor rgb="FF000000"/>
            </x14:dataBar>
          </x14:cfRule>
          <xm:sqref>D105</xm:sqref>
        </x14:conditionalFormatting>
        <x14:conditionalFormatting xmlns:xm="http://schemas.microsoft.com/office/excel/2006/main">
          <x14:cfRule type="dataBar" id="{A332004A-A78C-4391-9DD2-3CD1940B28C7}">
            <x14:dataBar minLength="0" maxLength="100" gradient="0">
              <x14:cfvo type="num">
                <xm:f>0</xm:f>
              </x14:cfvo>
              <x14:cfvo type="num">
                <xm:f>1</xm:f>
              </x14:cfvo>
              <x14:negativeFillColor rgb="FFFF0000"/>
              <x14:axisColor rgb="FF000000"/>
            </x14:dataBar>
          </x14:cfRule>
          <xm:sqref>D104</xm:sqref>
        </x14:conditionalFormatting>
        <x14:conditionalFormatting xmlns:xm="http://schemas.microsoft.com/office/excel/2006/main">
          <x14:cfRule type="dataBar" id="{138952DF-8C56-43E2-8E60-912A9D2BABD8}">
            <x14:dataBar minLength="0" maxLength="100" gradient="0">
              <x14:cfvo type="num">
                <xm:f>0</xm:f>
              </x14:cfvo>
              <x14:cfvo type="num">
                <xm:f>1</xm:f>
              </x14:cfvo>
              <x14:negativeFillColor rgb="FFFF0000"/>
              <x14:axisColor rgb="FF000000"/>
            </x14:dataBar>
          </x14:cfRule>
          <xm:sqref>D106</xm:sqref>
        </x14:conditionalFormatting>
        <x14:conditionalFormatting xmlns:xm="http://schemas.microsoft.com/office/excel/2006/main">
          <x14:cfRule type="dataBar" id="{7DA69955-1BC7-4419-9415-B1C87ED63030}">
            <x14:dataBar minLength="0" maxLength="100" gradient="0">
              <x14:cfvo type="num">
                <xm:f>0</xm:f>
              </x14:cfvo>
              <x14:cfvo type="num">
                <xm:f>1</xm:f>
              </x14:cfvo>
              <x14:negativeFillColor rgb="FFFF0000"/>
              <x14:axisColor rgb="FF000000"/>
            </x14:dataBar>
          </x14:cfRule>
          <xm:sqref>D108</xm:sqref>
        </x14:conditionalFormatting>
        <x14:conditionalFormatting xmlns:xm="http://schemas.microsoft.com/office/excel/2006/main">
          <x14:cfRule type="dataBar" id="{0D8B80AD-0F93-4A0C-9486-C95D7F5B53C6}">
            <x14:dataBar minLength="0" maxLength="100" gradient="0">
              <x14:cfvo type="num">
                <xm:f>0</xm:f>
              </x14:cfvo>
              <x14:cfvo type="num">
                <xm:f>1</xm:f>
              </x14:cfvo>
              <x14:negativeFillColor rgb="FFFF0000"/>
              <x14:axisColor rgb="FF000000"/>
            </x14:dataBar>
          </x14:cfRule>
          <xm:sqref>D107</xm:sqref>
        </x14:conditionalFormatting>
        <x14:conditionalFormatting xmlns:xm="http://schemas.microsoft.com/office/excel/2006/main">
          <x14:cfRule type="dataBar" id="{5C3B52B0-D2F0-4306-AF03-F2880BE32C9D}">
            <x14:dataBar minLength="0" maxLength="100" gradient="0">
              <x14:cfvo type="num">
                <xm:f>0</xm:f>
              </x14:cfvo>
              <x14:cfvo type="num">
                <xm:f>1</xm:f>
              </x14:cfvo>
              <x14:negativeFillColor rgb="FFFF0000"/>
              <x14:axisColor rgb="FF000000"/>
            </x14:dataBar>
          </x14:cfRule>
          <xm:sqref>D109</xm:sqref>
        </x14:conditionalFormatting>
        <x14:conditionalFormatting xmlns:xm="http://schemas.microsoft.com/office/excel/2006/main">
          <x14:cfRule type="dataBar" id="{9EC3A6F0-AB8F-410B-BC82-183247DFB4EC}">
            <x14:dataBar minLength="0" maxLength="100" gradient="0">
              <x14:cfvo type="num">
                <xm:f>0</xm:f>
              </x14:cfvo>
              <x14:cfvo type="num">
                <xm:f>1</xm:f>
              </x14:cfvo>
              <x14:negativeFillColor rgb="FFFF0000"/>
              <x14:axisColor rgb="FF000000"/>
            </x14:dataBar>
          </x14:cfRule>
          <xm:sqref>D110</xm:sqref>
        </x14:conditionalFormatting>
        <x14:conditionalFormatting xmlns:xm="http://schemas.microsoft.com/office/excel/2006/main">
          <x14:cfRule type="dataBar" id="{104A3ED0-8E77-4DBD-9077-AC779FFEFC06}">
            <x14:dataBar minLength="0" maxLength="100" gradient="0">
              <x14:cfvo type="num">
                <xm:f>0</xm:f>
              </x14:cfvo>
              <x14:cfvo type="num">
                <xm:f>1</xm:f>
              </x14:cfvo>
              <x14:negativeFillColor rgb="FFFF0000"/>
              <x14:axisColor rgb="FF000000"/>
            </x14:dataBar>
          </x14:cfRule>
          <xm:sqref>D112</xm:sqref>
        </x14:conditionalFormatting>
        <x14:conditionalFormatting xmlns:xm="http://schemas.microsoft.com/office/excel/2006/main">
          <x14:cfRule type="dataBar" id="{248DCC98-E309-424D-85AC-2BBBC9A2D57D}">
            <x14:dataBar minLength="0" maxLength="100" gradient="0">
              <x14:cfvo type="num">
                <xm:f>0</xm:f>
              </x14:cfvo>
              <x14:cfvo type="num">
                <xm:f>1</xm:f>
              </x14:cfvo>
              <x14:negativeFillColor rgb="FFFF0000"/>
              <x14:axisColor rgb="FF000000"/>
            </x14:dataBar>
          </x14:cfRule>
          <xm:sqref>D111</xm:sqref>
        </x14:conditionalFormatting>
        <x14:conditionalFormatting xmlns:xm="http://schemas.microsoft.com/office/excel/2006/main">
          <x14:cfRule type="dataBar" id="{5B9B2DA9-468D-4C68-B5E4-BCBF0BF042A1}">
            <x14:dataBar minLength="0" maxLength="100" gradient="0">
              <x14:cfvo type="num">
                <xm:f>0</xm:f>
              </x14:cfvo>
              <x14:cfvo type="num">
                <xm:f>1</xm:f>
              </x14:cfvo>
              <x14:negativeFillColor rgb="FFFF0000"/>
              <x14:axisColor rgb="FF000000"/>
            </x14:dataBar>
          </x14:cfRule>
          <xm:sqref>D114</xm:sqref>
        </x14:conditionalFormatting>
        <x14:conditionalFormatting xmlns:xm="http://schemas.microsoft.com/office/excel/2006/main">
          <x14:cfRule type="dataBar" id="{6BE2CC1A-1881-4CE6-BB50-C6BCF889E62D}">
            <x14:dataBar minLength="0" maxLength="100" gradient="0">
              <x14:cfvo type="num">
                <xm:f>0</xm:f>
              </x14:cfvo>
              <x14:cfvo type="num">
                <xm:f>1</xm:f>
              </x14:cfvo>
              <x14:negativeFillColor rgb="FFFF0000"/>
              <x14:axisColor rgb="FF000000"/>
            </x14:dataBar>
          </x14:cfRule>
          <xm:sqref>D113</xm:sqref>
        </x14:conditionalFormatting>
        <x14:conditionalFormatting xmlns:xm="http://schemas.microsoft.com/office/excel/2006/main">
          <x14:cfRule type="dataBar" id="{88F5A52F-945D-453B-8C41-4C15445E03B5}">
            <x14:dataBar minLength="0" maxLength="100" gradient="0">
              <x14:cfvo type="num">
                <xm:f>0</xm:f>
              </x14:cfvo>
              <x14:cfvo type="num">
                <xm:f>1</xm:f>
              </x14:cfvo>
              <x14:negativeFillColor rgb="FFFF0000"/>
              <x14:axisColor rgb="FF000000"/>
            </x14:dataBar>
          </x14:cfRule>
          <xm:sqref>D115</xm:sqref>
        </x14:conditionalFormatting>
        <x14:conditionalFormatting xmlns:xm="http://schemas.microsoft.com/office/excel/2006/main">
          <x14:cfRule type="dataBar" id="{7F68FF78-30EB-415D-BB86-9E6116AA1C98}">
            <x14:dataBar minLength="0" maxLength="100" gradient="0">
              <x14:cfvo type="num">
                <xm:f>0</xm:f>
              </x14:cfvo>
              <x14:cfvo type="num">
                <xm:f>1</xm:f>
              </x14:cfvo>
              <x14:negativeFillColor rgb="FFFF0000"/>
              <x14:axisColor rgb="FF000000"/>
            </x14:dataBar>
          </x14:cfRule>
          <xm:sqref>D116</xm:sqref>
        </x14:conditionalFormatting>
        <x14:conditionalFormatting xmlns:xm="http://schemas.microsoft.com/office/excel/2006/main">
          <x14:cfRule type="dataBar" id="{A752558A-BDAD-4E50-8953-96728ABACC9C}">
            <x14:dataBar minLength="0" maxLength="100" gradient="0">
              <x14:cfvo type="num">
                <xm:f>0</xm:f>
              </x14:cfvo>
              <x14:cfvo type="num">
                <xm:f>1</xm:f>
              </x14:cfvo>
              <x14:negativeFillColor rgb="FFFF0000"/>
              <x14:axisColor rgb="FF000000"/>
            </x14:dataBar>
          </x14:cfRule>
          <xm:sqref>D139</xm:sqref>
        </x14:conditionalFormatting>
        <x14:conditionalFormatting xmlns:xm="http://schemas.microsoft.com/office/excel/2006/main">
          <x14:cfRule type="dataBar" id="{96CF7553-66B1-43F0-A488-B74C3BA1C2E0}">
            <x14:dataBar minLength="0" maxLength="100" gradient="0">
              <x14:cfvo type="num">
                <xm:f>0</xm:f>
              </x14:cfvo>
              <x14:cfvo type="num">
                <xm:f>1</xm:f>
              </x14:cfvo>
              <x14:negativeFillColor rgb="FFFF0000"/>
              <x14:axisColor rgb="FF000000"/>
            </x14:dataBar>
          </x14:cfRule>
          <xm:sqref>D141</xm:sqref>
        </x14:conditionalFormatting>
        <x14:conditionalFormatting xmlns:xm="http://schemas.microsoft.com/office/excel/2006/main">
          <x14:cfRule type="dataBar" id="{FAA3A1CC-08F3-4810-9A3E-F87A49BF751F}">
            <x14:dataBar minLength="0" maxLength="100" gradient="0">
              <x14:cfvo type="num">
                <xm:f>0</xm:f>
              </x14:cfvo>
              <x14:cfvo type="num">
                <xm:f>1</xm:f>
              </x14:cfvo>
              <x14:negativeFillColor rgb="FFFF0000"/>
              <x14:axisColor rgb="FF000000"/>
            </x14:dataBar>
          </x14:cfRule>
          <xm:sqref>D140</xm:sqref>
        </x14:conditionalFormatting>
        <x14:conditionalFormatting xmlns:xm="http://schemas.microsoft.com/office/excel/2006/main">
          <x14:cfRule type="dataBar" id="{076C4FAB-41CD-4EF4-9F4F-ACC79B1D7281}">
            <x14:dataBar minLength="0" maxLength="100" gradient="0">
              <x14:cfvo type="num">
                <xm:f>0</xm:f>
              </x14:cfvo>
              <x14:cfvo type="num">
                <xm:f>1</xm:f>
              </x14:cfvo>
              <x14:negativeFillColor rgb="FFFF0000"/>
              <x14:axisColor rgb="FF000000"/>
            </x14:dataBar>
          </x14:cfRule>
          <xm:sqref>D142</xm:sqref>
        </x14:conditionalFormatting>
        <x14:conditionalFormatting xmlns:xm="http://schemas.microsoft.com/office/excel/2006/main">
          <x14:cfRule type="dataBar" id="{5D7501C1-6040-48DE-AB79-F85BC3A56404}">
            <x14:dataBar minLength="0" maxLength="100" gradient="0">
              <x14:cfvo type="num">
                <xm:f>0</xm:f>
              </x14:cfvo>
              <x14:cfvo type="num">
                <xm:f>1</xm:f>
              </x14:cfvo>
              <x14:negativeFillColor rgb="FFFF0000"/>
              <x14:axisColor rgb="FF000000"/>
            </x14:dataBar>
          </x14:cfRule>
          <xm:sqref>D143</xm:sqref>
        </x14:conditionalFormatting>
        <x14:conditionalFormatting xmlns:xm="http://schemas.microsoft.com/office/excel/2006/main">
          <x14:cfRule type="dataBar" id="{8342D6FD-976B-429F-B620-B03D8378EE56}">
            <x14:dataBar minLength="0" maxLength="100" gradient="0">
              <x14:cfvo type="num">
                <xm:f>0</xm:f>
              </x14:cfvo>
              <x14:cfvo type="num">
                <xm:f>1</xm:f>
              </x14:cfvo>
              <x14:negativeFillColor rgb="FFFF0000"/>
              <x14:axisColor rgb="FF000000"/>
            </x14:dataBar>
          </x14:cfRule>
          <xm:sqref>D145</xm:sqref>
        </x14:conditionalFormatting>
        <x14:conditionalFormatting xmlns:xm="http://schemas.microsoft.com/office/excel/2006/main">
          <x14:cfRule type="dataBar" id="{CF57DF3A-86A3-4F8F-AA36-AD1F8885B90D}">
            <x14:dataBar minLength="0" maxLength="100" gradient="0">
              <x14:cfvo type="num">
                <xm:f>0</xm:f>
              </x14:cfvo>
              <x14:cfvo type="num">
                <xm:f>1</xm:f>
              </x14:cfvo>
              <x14:negativeFillColor rgb="FFFF0000"/>
              <x14:axisColor rgb="FF000000"/>
            </x14:dataBar>
          </x14:cfRule>
          <xm:sqref>D144</xm:sqref>
        </x14:conditionalFormatting>
        <x14:conditionalFormatting xmlns:xm="http://schemas.microsoft.com/office/excel/2006/main">
          <x14:cfRule type="dataBar" id="{5F2EBE6C-0381-4E7E-AC9A-4DE40239ABDA}">
            <x14:dataBar minLength="0" maxLength="100" gradient="0">
              <x14:cfvo type="num">
                <xm:f>0</xm:f>
              </x14:cfvo>
              <x14:cfvo type="num">
                <xm:f>1</xm:f>
              </x14:cfvo>
              <x14:negativeFillColor rgb="FFFF0000"/>
              <x14:axisColor rgb="FF000000"/>
            </x14:dataBar>
          </x14:cfRule>
          <xm:sqref>D146</xm:sqref>
        </x14:conditionalFormatting>
        <x14:conditionalFormatting xmlns:xm="http://schemas.microsoft.com/office/excel/2006/main">
          <x14:cfRule type="dataBar" id="{0FB0868A-00FB-4708-BFBD-206FD3557F36}">
            <x14:dataBar minLength="0" maxLength="100" gradient="0">
              <x14:cfvo type="num">
                <xm:f>0</xm:f>
              </x14:cfvo>
              <x14:cfvo type="num">
                <xm:f>1</xm:f>
              </x14:cfvo>
              <x14:negativeFillColor rgb="FFFF0000"/>
              <x14:axisColor rgb="FF000000"/>
            </x14:dataBar>
          </x14:cfRule>
          <xm:sqref>D147</xm:sqref>
        </x14:conditionalFormatting>
        <x14:conditionalFormatting xmlns:xm="http://schemas.microsoft.com/office/excel/2006/main">
          <x14:cfRule type="dataBar" id="{1E1C630D-C271-4DFF-9388-8B3AA53E9389}">
            <x14:dataBar minLength="0" maxLength="100" gradient="0">
              <x14:cfvo type="num">
                <xm:f>0</xm:f>
              </x14:cfvo>
              <x14:cfvo type="num">
                <xm:f>1</xm:f>
              </x14:cfvo>
              <x14:negativeFillColor rgb="FFFF0000"/>
              <x14:axisColor rgb="FF000000"/>
            </x14:dataBar>
          </x14:cfRule>
          <xm:sqref>D186</xm:sqref>
        </x14:conditionalFormatting>
        <x14:conditionalFormatting xmlns:xm="http://schemas.microsoft.com/office/excel/2006/main">
          <x14:cfRule type="dataBar" id="{B79BE7E0-5746-40BC-BFDD-6AB44577824C}">
            <x14:dataBar minLength="0" maxLength="100" gradient="0">
              <x14:cfvo type="num">
                <xm:f>0</xm:f>
              </x14:cfvo>
              <x14:cfvo type="num">
                <xm:f>1</xm:f>
              </x14:cfvo>
              <x14:negativeFillColor rgb="FFFF0000"/>
              <x14:axisColor rgb="FF000000"/>
            </x14:dataBar>
          </x14:cfRule>
          <xm:sqref>D188</xm:sqref>
        </x14:conditionalFormatting>
        <x14:conditionalFormatting xmlns:xm="http://schemas.microsoft.com/office/excel/2006/main">
          <x14:cfRule type="dataBar" id="{3876D18E-3B73-443F-97C3-0C8E5FBD1255}">
            <x14:dataBar minLength="0" maxLength="100" gradient="0">
              <x14:cfvo type="num">
                <xm:f>0</xm:f>
              </x14:cfvo>
              <x14:cfvo type="num">
                <xm:f>1</xm:f>
              </x14:cfvo>
              <x14:negativeFillColor rgb="FFFF0000"/>
              <x14:axisColor rgb="FF000000"/>
            </x14:dataBar>
          </x14:cfRule>
          <xm:sqref>D187</xm:sqref>
        </x14:conditionalFormatting>
        <x14:conditionalFormatting xmlns:xm="http://schemas.microsoft.com/office/excel/2006/main">
          <x14:cfRule type="dataBar" id="{91362199-0A79-476E-86D5-73C26AC94461}">
            <x14:dataBar minLength="0" maxLength="100" gradient="0">
              <x14:cfvo type="num">
                <xm:f>0</xm:f>
              </x14:cfvo>
              <x14:cfvo type="num">
                <xm:f>1</xm:f>
              </x14:cfvo>
              <x14:negativeFillColor rgb="FFFF0000"/>
              <x14:axisColor rgb="FF000000"/>
            </x14:dataBar>
          </x14:cfRule>
          <xm:sqref>D189</xm:sqref>
        </x14:conditionalFormatting>
        <x14:conditionalFormatting xmlns:xm="http://schemas.microsoft.com/office/excel/2006/main">
          <x14:cfRule type="dataBar" id="{66283EF3-664A-4C5C-AC03-697C52330225}">
            <x14:dataBar minLength="0" maxLength="100" gradient="0">
              <x14:cfvo type="num">
                <xm:f>0</xm:f>
              </x14:cfvo>
              <x14:cfvo type="num">
                <xm:f>1</xm:f>
              </x14:cfvo>
              <x14:negativeFillColor rgb="FFFF0000"/>
              <x14:axisColor rgb="FF000000"/>
            </x14:dataBar>
          </x14:cfRule>
          <xm:sqref>D193</xm:sqref>
        </x14:conditionalFormatting>
        <x14:conditionalFormatting xmlns:xm="http://schemas.microsoft.com/office/excel/2006/main">
          <x14:cfRule type="dataBar" id="{F106BE56-ABAE-43A9-8523-E4CD9BAD6200}">
            <x14:dataBar minLength="0" maxLength="100" gradient="0">
              <x14:cfvo type="num">
                <xm:f>0</xm:f>
              </x14:cfvo>
              <x14:cfvo type="num">
                <xm:f>1</xm:f>
              </x14:cfvo>
              <x14:negativeFillColor rgb="FFFF0000"/>
              <x14:axisColor rgb="FF000000"/>
            </x14:dataBar>
          </x14:cfRule>
          <xm:sqref>D192</xm:sqref>
        </x14:conditionalFormatting>
        <x14:conditionalFormatting xmlns:xm="http://schemas.microsoft.com/office/excel/2006/main">
          <x14:cfRule type="dataBar" id="{907C2458-B15C-4027-AD95-5BEFA8DB2E47}">
            <x14:dataBar minLength="0" maxLength="100" gradient="0">
              <x14:cfvo type="num">
                <xm:f>0</xm:f>
              </x14:cfvo>
              <x14:cfvo type="num">
                <xm:f>1</xm:f>
              </x14:cfvo>
              <x14:negativeFillColor rgb="FFFF0000"/>
              <x14:axisColor rgb="FF000000"/>
            </x14:dataBar>
          </x14:cfRule>
          <xm:sqref>D194</xm:sqref>
        </x14:conditionalFormatting>
        <x14:conditionalFormatting xmlns:xm="http://schemas.microsoft.com/office/excel/2006/main">
          <x14:cfRule type="dataBar" id="{F8514D57-03DD-4D62-841F-DD81340E9150}">
            <x14:dataBar minLength="0" maxLength="100" gradient="0">
              <x14:cfvo type="num">
                <xm:f>0</xm:f>
              </x14:cfvo>
              <x14:cfvo type="num">
                <xm:f>1</xm:f>
              </x14:cfvo>
              <x14:negativeFillColor rgb="FFFF0000"/>
              <x14:axisColor rgb="FF000000"/>
            </x14:dataBar>
          </x14:cfRule>
          <xm:sqref>D190</xm:sqref>
        </x14:conditionalFormatting>
        <x14:conditionalFormatting xmlns:xm="http://schemas.microsoft.com/office/excel/2006/main">
          <x14:cfRule type="dataBar" id="{CA2CB4D5-447B-493C-834E-36EC649B2126}">
            <x14:dataBar minLength="0" maxLength="100" gradient="0">
              <x14:cfvo type="num">
                <xm:f>0</xm:f>
              </x14:cfvo>
              <x14:cfvo type="num">
                <xm:f>1</xm:f>
              </x14:cfvo>
              <x14:negativeFillColor rgb="FFFF0000"/>
              <x14:axisColor rgb="FF000000"/>
            </x14:dataBar>
          </x14:cfRule>
          <xm:sqref>D191</xm:sqref>
        </x14:conditionalFormatting>
        <x14:conditionalFormatting xmlns:xm="http://schemas.microsoft.com/office/excel/2006/main">
          <x14:cfRule type="dataBar" id="{9AB855B4-4B4F-45E4-A122-1C9F8BC34764}">
            <x14:dataBar minLength="0" maxLength="100" gradient="0">
              <x14:cfvo type="num">
                <xm:f>0</xm:f>
              </x14:cfvo>
              <x14:cfvo type="num">
                <xm:f>1</xm:f>
              </x14:cfvo>
              <x14:negativeFillColor rgb="FFFF0000"/>
              <x14:axisColor rgb="FF000000"/>
            </x14:dataBar>
          </x14:cfRule>
          <xm:sqref>D195</xm:sqref>
        </x14:conditionalFormatting>
        <x14:conditionalFormatting xmlns:xm="http://schemas.microsoft.com/office/excel/2006/main">
          <x14:cfRule type="dataBar" id="{07BE8FF3-F8C5-4EED-AE55-803873F2A93B}">
            <x14:dataBar minLength="0" maxLength="100" gradient="0">
              <x14:cfvo type="num">
                <xm:f>0</xm:f>
              </x14:cfvo>
              <x14:cfvo type="num">
                <xm:f>1</xm:f>
              </x14:cfvo>
              <x14:negativeFillColor rgb="FFFF0000"/>
              <x14:axisColor rgb="FF000000"/>
            </x14:dataBar>
          </x14:cfRule>
          <xm:sqref>D197</xm:sqref>
        </x14:conditionalFormatting>
        <x14:conditionalFormatting xmlns:xm="http://schemas.microsoft.com/office/excel/2006/main">
          <x14:cfRule type="dataBar" id="{5E275FEC-8B5F-45E3-BC2B-C8EF0C457420}">
            <x14:dataBar minLength="0" maxLength="100" gradient="0">
              <x14:cfvo type="num">
                <xm:f>0</xm:f>
              </x14:cfvo>
              <x14:cfvo type="num">
                <xm:f>1</xm:f>
              </x14:cfvo>
              <x14:negativeFillColor rgb="FFFF0000"/>
              <x14:axisColor rgb="FF000000"/>
            </x14:dataBar>
          </x14:cfRule>
          <xm:sqref>D196</xm:sqref>
        </x14:conditionalFormatting>
        <x14:conditionalFormatting xmlns:xm="http://schemas.microsoft.com/office/excel/2006/main">
          <x14:cfRule type="dataBar" id="{A1835A3E-D4D4-4DC7-8C78-1EA96F0F129B}">
            <x14:dataBar minLength="0" maxLength="100" gradient="0">
              <x14:cfvo type="num">
                <xm:f>0</xm:f>
              </x14:cfvo>
              <x14:cfvo type="num">
                <xm:f>1</xm:f>
              </x14:cfvo>
              <x14:negativeFillColor rgb="FFFF0000"/>
              <x14:axisColor rgb="FF000000"/>
            </x14:dataBar>
          </x14:cfRule>
          <xm:sqref>D198</xm:sqref>
        </x14:conditionalFormatting>
        <x14:conditionalFormatting xmlns:xm="http://schemas.microsoft.com/office/excel/2006/main">
          <x14:cfRule type="dataBar" id="{B5FAC15B-D14C-4F25-A029-C371F9870ED4}">
            <x14:dataBar minLength="0" maxLength="100" gradient="0">
              <x14:cfvo type="num">
                <xm:f>0</xm:f>
              </x14:cfvo>
              <x14:cfvo type="num">
                <xm:f>1</xm:f>
              </x14:cfvo>
              <x14:negativeFillColor rgb="FFFF0000"/>
              <x14:axisColor rgb="FF000000"/>
            </x14:dataBar>
          </x14:cfRule>
          <xm:sqref>D199</xm:sqref>
        </x14:conditionalFormatting>
        <x14:conditionalFormatting xmlns:xm="http://schemas.microsoft.com/office/excel/2006/main">
          <x14:cfRule type="dataBar" id="{2DFA4945-F17E-441C-A945-A6B57BC6B268}">
            <x14:dataBar minLength="0" maxLength="100" gradient="0">
              <x14:cfvo type="num">
                <xm:f>0</xm:f>
              </x14:cfvo>
              <x14:cfvo type="num">
                <xm:f>1</xm:f>
              </x14:cfvo>
              <x14:negativeFillColor rgb="FFFF0000"/>
              <x14:axisColor rgb="FF000000"/>
            </x14:dataBar>
          </x14:cfRule>
          <xm:sqref>D201</xm:sqref>
        </x14:conditionalFormatting>
        <x14:conditionalFormatting xmlns:xm="http://schemas.microsoft.com/office/excel/2006/main">
          <x14:cfRule type="dataBar" id="{2381103D-56AA-4D87-B479-0CA52B006399}">
            <x14:dataBar minLength="0" maxLength="100" gradient="0">
              <x14:cfvo type="num">
                <xm:f>0</xm:f>
              </x14:cfvo>
              <x14:cfvo type="num">
                <xm:f>1</xm:f>
              </x14:cfvo>
              <x14:negativeFillColor rgb="FFFF0000"/>
              <x14:axisColor rgb="FF000000"/>
            </x14:dataBar>
          </x14:cfRule>
          <xm:sqref>D200</xm:sqref>
        </x14:conditionalFormatting>
        <x14:conditionalFormatting xmlns:xm="http://schemas.microsoft.com/office/excel/2006/main">
          <x14:cfRule type="dataBar" id="{CD88E94A-7326-4D28-BA09-38C7525F1B75}">
            <x14:dataBar minLength="0" maxLength="100" gradient="0">
              <x14:cfvo type="num">
                <xm:f>0</xm:f>
              </x14:cfvo>
              <x14:cfvo type="num">
                <xm:f>1</xm:f>
              </x14:cfvo>
              <x14:negativeFillColor rgb="FFFF0000"/>
              <x14:axisColor rgb="FF000000"/>
            </x14:dataBar>
          </x14:cfRule>
          <xm:sqref>D202</xm:sqref>
        </x14:conditionalFormatting>
        <x14:conditionalFormatting xmlns:xm="http://schemas.microsoft.com/office/excel/2006/main">
          <x14:cfRule type="dataBar" id="{A8633410-5827-4ADC-B53B-824A329C5368}">
            <x14:dataBar minLength="0" maxLength="100" gradient="0">
              <x14:cfvo type="num">
                <xm:f>0</xm:f>
              </x14:cfvo>
              <x14:cfvo type="num">
                <xm:f>1</xm:f>
              </x14:cfvo>
              <x14:negativeFillColor rgb="FFFF0000"/>
              <x14:axisColor rgb="FF000000"/>
            </x14:dataBar>
          </x14:cfRule>
          <xm:sqref>D203</xm:sqref>
        </x14:conditionalFormatting>
        <x14:conditionalFormatting xmlns:xm="http://schemas.microsoft.com/office/excel/2006/main">
          <x14:cfRule type="dataBar" id="{B265C14D-A318-4BE4-BD21-EA4D20F33CE3}">
            <x14:dataBar minLength="0" maxLength="100" gradient="0">
              <x14:cfvo type="num">
                <xm:f>0</xm:f>
              </x14:cfvo>
              <x14:cfvo type="num">
                <xm:f>1</xm:f>
              </x14:cfvo>
              <x14:negativeFillColor rgb="FFFF0000"/>
              <x14:axisColor rgb="FF000000"/>
            </x14:dataBar>
          </x14:cfRule>
          <xm:sqref>D205</xm:sqref>
        </x14:conditionalFormatting>
        <x14:conditionalFormatting xmlns:xm="http://schemas.microsoft.com/office/excel/2006/main">
          <x14:cfRule type="dataBar" id="{0975E921-014A-4260-B42B-4AC37DC2BE82}">
            <x14:dataBar minLength="0" maxLength="100" gradient="0">
              <x14:cfvo type="num">
                <xm:f>0</xm:f>
              </x14:cfvo>
              <x14:cfvo type="num">
                <xm:f>1</xm:f>
              </x14:cfvo>
              <x14:negativeFillColor rgb="FFFF0000"/>
              <x14:axisColor rgb="FF000000"/>
            </x14:dataBar>
          </x14:cfRule>
          <xm:sqref>D204</xm:sqref>
        </x14:conditionalFormatting>
        <x14:conditionalFormatting xmlns:xm="http://schemas.microsoft.com/office/excel/2006/main">
          <x14:cfRule type="dataBar" id="{3AE256E1-8681-4938-8E60-EFC3840A9B14}">
            <x14:dataBar minLength="0" maxLength="100" gradient="0">
              <x14:cfvo type="num">
                <xm:f>0</xm:f>
              </x14:cfvo>
              <x14:cfvo type="num">
                <xm:f>1</xm:f>
              </x14:cfvo>
              <x14:negativeFillColor rgb="FFFF0000"/>
              <x14:axisColor rgb="FF000000"/>
            </x14:dataBar>
          </x14:cfRule>
          <xm:sqref>D206</xm:sqref>
        </x14:conditionalFormatting>
        <x14:conditionalFormatting xmlns:xm="http://schemas.microsoft.com/office/excel/2006/main">
          <x14:cfRule type="dataBar" id="{BC5894B2-4698-4B55-8AC1-9F871414161D}">
            <x14:dataBar minLength="0" maxLength="100" gradient="0">
              <x14:cfvo type="num">
                <xm:f>0</xm:f>
              </x14:cfvo>
              <x14:cfvo type="num">
                <xm:f>1</xm:f>
              </x14:cfvo>
              <x14:negativeFillColor rgb="FFFF0000"/>
              <x14:axisColor rgb="FF000000"/>
            </x14:dataBar>
          </x14:cfRule>
          <xm:sqref>D207</xm:sqref>
        </x14:conditionalFormatting>
        <x14:conditionalFormatting xmlns:xm="http://schemas.microsoft.com/office/excel/2006/main">
          <x14:cfRule type="dataBar" id="{393D40EF-830E-480E-BFFE-2B8D19E86919}">
            <x14:dataBar minLength="0" maxLength="100" gradient="0">
              <x14:cfvo type="num">
                <xm:f>0</xm:f>
              </x14:cfvo>
              <x14:cfvo type="num">
                <xm:f>1</xm:f>
              </x14:cfvo>
              <x14:negativeFillColor rgb="FFFF0000"/>
              <x14:axisColor rgb="FF000000"/>
            </x14:dataBar>
          </x14:cfRule>
          <xm:sqref>D209</xm:sqref>
        </x14:conditionalFormatting>
        <x14:conditionalFormatting xmlns:xm="http://schemas.microsoft.com/office/excel/2006/main">
          <x14:cfRule type="dataBar" id="{5B2805D5-4872-4E28-8957-96033D188E3E}">
            <x14:dataBar minLength="0" maxLength="100" gradient="0">
              <x14:cfvo type="num">
                <xm:f>0</xm:f>
              </x14:cfvo>
              <x14:cfvo type="num">
                <xm:f>1</xm:f>
              </x14:cfvo>
              <x14:negativeFillColor rgb="FFFF0000"/>
              <x14:axisColor rgb="FF000000"/>
            </x14:dataBar>
          </x14:cfRule>
          <xm:sqref>D208</xm:sqref>
        </x14:conditionalFormatting>
        <x14:conditionalFormatting xmlns:xm="http://schemas.microsoft.com/office/excel/2006/main">
          <x14:cfRule type="dataBar" id="{7C876D5B-C26F-4996-B8AC-8830BC658732}">
            <x14:dataBar minLength="0" maxLength="100" gradient="0">
              <x14:cfvo type="num">
                <xm:f>0</xm:f>
              </x14:cfvo>
              <x14:cfvo type="num">
                <xm:f>1</xm:f>
              </x14:cfvo>
              <x14:negativeFillColor rgb="FFFF0000"/>
              <x14:axisColor rgb="FF000000"/>
            </x14:dataBar>
          </x14:cfRule>
          <xm:sqref>D210</xm:sqref>
        </x14:conditionalFormatting>
        <x14:conditionalFormatting xmlns:xm="http://schemas.microsoft.com/office/excel/2006/main">
          <x14:cfRule type="dataBar" id="{F6A1F65E-6919-4D7A-9C5A-BE3871F9C96D}">
            <x14:dataBar minLength="0" maxLength="100" gradient="0">
              <x14:cfvo type="num">
                <xm:f>0</xm:f>
              </x14:cfvo>
              <x14:cfvo type="num">
                <xm:f>1</xm:f>
              </x14:cfvo>
              <x14:negativeFillColor rgb="FFFF0000"/>
              <x14:axisColor rgb="FF000000"/>
            </x14:dataBar>
          </x14:cfRule>
          <xm:sqref>D211</xm:sqref>
        </x14:conditionalFormatting>
        <x14:conditionalFormatting xmlns:xm="http://schemas.microsoft.com/office/excel/2006/main">
          <x14:cfRule type="dataBar" id="{96A2C161-B3CB-49C9-933F-30C180B16EDA}">
            <x14:dataBar minLength="0" maxLength="100" gradient="0">
              <x14:cfvo type="num">
                <xm:f>0</xm:f>
              </x14:cfvo>
              <x14:cfvo type="num">
                <xm:f>1</xm:f>
              </x14:cfvo>
              <x14:negativeFillColor rgb="FFFF0000"/>
              <x14:axisColor rgb="FF000000"/>
            </x14:dataBar>
          </x14:cfRule>
          <xm:sqref>D213</xm:sqref>
        </x14:conditionalFormatting>
        <x14:conditionalFormatting xmlns:xm="http://schemas.microsoft.com/office/excel/2006/main">
          <x14:cfRule type="dataBar" id="{95DBE63F-5F64-4A91-A75B-5F8E0984460B}">
            <x14:dataBar minLength="0" maxLength="100" gradient="0">
              <x14:cfvo type="num">
                <xm:f>0</xm:f>
              </x14:cfvo>
              <x14:cfvo type="num">
                <xm:f>1</xm:f>
              </x14:cfvo>
              <x14:negativeFillColor rgb="FFFF0000"/>
              <x14:axisColor rgb="FF000000"/>
            </x14:dataBar>
          </x14:cfRule>
          <xm:sqref>D212</xm:sqref>
        </x14:conditionalFormatting>
        <x14:conditionalFormatting xmlns:xm="http://schemas.microsoft.com/office/excel/2006/main">
          <x14:cfRule type="dataBar" id="{423E493E-0BA4-4815-A235-703C434F500B}">
            <x14:dataBar minLength="0" maxLength="100" gradient="0">
              <x14:cfvo type="num">
                <xm:f>0</xm:f>
              </x14:cfvo>
              <x14:cfvo type="num">
                <xm:f>1</xm:f>
              </x14:cfvo>
              <x14:negativeFillColor rgb="FFFF0000"/>
              <x14:axisColor rgb="FF000000"/>
            </x14:dataBar>
          </x14:cfRule>
          <xm:sqref>D214</xm:sqref>
        </x14:conditionalFormatting>
        <x14:conditionalFormatting xmlns:xm="http://schemas.microsoft.com/office/excel/2006/main">
          <x14:cfRule type="dataBar" id="{E426BA98-C923-4606-BE56-D9CA853B3DF3}">
            <x14:dataBar minLength="0" maxLength="100" gradient="0">
              <x14:cfvo type="num">
                <xm:f>0</xm:f>
              </x14:cfvo>
              <x14:cfvo type="num">
                <xm:f>1</xm:f>
              </x14:cfvo>
              <x14:negativeFillColor rgb="FFFF0000"/>
              <x14:axisColor rgb="FF000000"/>
            </x14:dataBar>
          </x14:cfRule>
          <xm:sqref>D216</xm:sqref>
        </x14:conditionalFormatting>
        <x14:conditionalFormatting xmlns:xm="http://schemas.microsoft.com/office/excel/2006/main">
          <x14:cfRule type="dataBar" id="{D360F248-01A1-4858-9C43-63B92ADD3903}">
            <x14:dataBar minLength="0" maxLength="100" gradient="0">
              <x14:cfvo type="num">
                <xm:f>0</xm:f>
              </x14:cfvo>
              <x14:cfvo type="num">
                <xm:f>1</xm:f>
              </x14:cfvo>
              <x14:negativeFillColor rgb="FFFF0000"/>
              <x14:axisColor rgb="FF000000"/>
            </x14:dataBar>
          </x14:cfRule>
          <xm:sqref>D215</xm:sqref>
        </x14:conditionalFormatting>
        <x14:conditionalFormatting xmlns:xm="http://schemas.microsoft.com/office/excel/2006/main">
          <x14:cfRule type="dataBar" id="{CDEAD854-A43D-4BF3-A0A4-F84DB28B9555}">
            <x14:dataBar minLength="0" maxLength="100" gradient="0">
              <x14:cfvo type="num">
                <xm:f>0</xm:f>
              </x14:cfvo>
              <x14:cfvo type="num">
                <xm:f>1</xm:f>
              </x14:cfvo>
              <x14:negativeFillColor rgb="FFFF0000"/>
              <x14:axisColor rgb="FF000000"/>
            </x14:dataBar>
          </x14:cfRule>
          <xm:sqref>D217</xm:sqref>
        </x14:conditionalFormatting>
        <x14:conditionalFormatting xmlns:xm="http://schemas.microsoft.com/office/excel/2006/main">
          <x14:cfRule type="dataBar" id="{D27CF016-A982-48F7-8C21-2A0B40BE4091}">
            <x14:dataBar minLength="0" maxLength="100" gradient="0">
              <x14:cfvo type="num">
                <xm:f>0</xm:f>
              </x14:cfvo>
              <x14:cfvo type="num">
                <xm:f>1</xm:f>
              </x14:cfvo>
              <x14:negativeFillColor rgb="FFFF0000"/>
              <x14:axisColor rgb="FF000000"/>
            </x14:dataBar>
          </x14:cfRule>
          <xm:sqref>D219</xm:sqref>
        </x14:conditionalFormatting>
        <x14:conditionalFormatting xmlns:xm="http://schemas.microsoft.com/office/excel/2006/main">
          <x14:cfRule type="dataBar" id="{8E07DEE4-A81C-4FDD-B91D-888B0112DA7A}">
            <x14:dataBar minLength="0" maxLength="100" gradient="0">
              <x14:cfvo type="num">
                <xm:f>0</xm:f>
              </x14:cfvo>
              <x14:cfvo type="num">
                <xm:f>1</xm:f>
              </x14:cfvo>
              <x14:negativeFillColor rgb="FFFF0000"/>
              <x14:axisColor rgb="FF000000"/>
            </x14:dataBar>
          </x14:cfRule>
          <xm:sqref>D218</xm:sqref>
        </x14:conditionalFormatting>
        <x14:conditionalFormatting xmlns:xm="http://schemas.microsoft.com/office/excel/2006/main">
          <x14:cfRule type="dataBar" id="{0389C43F-2D25-496E-904A-69435C7BE24F}">
            <x14:dataBar minLength="0" maxLength="100" gradient="0">
              <x14:cfvo type="num">
                <xm:f>0</xm:f>
              </x14:cfvo>
              <x14:cfvo type="num">
                <xm:f>1</xm:f>
              </x14:cfvo>
              <x14:negativeFillColor rgb="FFFF0000"/>
              <x14:axisColor rgb="FF000000"/>
            </x14:dataBar>
          </x14:cfRule>
          <xm:sqref>D220</xm:sqref>
        </x14:conditionalFormatting>
        <x14:conditionalFormatting xmlns:xm="http://schemas.microsoft.com/office/excel/2006/main">
          <x14:cfRule type="dataBar" id="{B53BE1F1-6B56-4672-B602-7F02A3EC780D}">
            <x14:dataBar minLength="0" maxLength="100" gradient="0">
              <x14:cfvo type="num">
                <xm:f>0</xm:f>
              </x14:cfvo>
              <x14:cfvo type="num">
                <xm:f>1</xm:f>
              </x14:cfvo>
              <x14:negativeFillColor rgb="FFFF0000"/>
              <x14:axisColor rgb="FF000000"/>
            </x14:dataBar>
          </x14:cfRule>
          <xm:sqref>D222</xm:sqref>
        </x14:conditionalFormatting>
        <x14:conditionalFormatting xmlns:xm="http://schemas.microsoft.com/office/excel/2006/main">
          <x14:cfRule type="dataBar" id="{A51F33E6-4083-48DF-8E61-0D836CDA5395}">
            <x14:dataBar minLength="0" maxLength="100" gradient="0">
              <x14:cfvo type="num">
                <xm:f>0</xm:f>
              </x14:cfvo>
              <x14:cfvo type="num">
                <xm:f>1</xm:f>
              </x14:cfvo>
              <x14:negativeFillColor rgb="FFFF0000"/>
              <x14:axisColor rgb="FF000000"/>
            </x14:dataBar>
          </x14:cfRule>
          <xm:sqref>D221</xm:sqref>
        </x14:conditionalFormatting>
        <x14:conditionalFormatting xmlns:xm="http://schemas.microsoft.com/office/excel/2006/main">
          <x14:cfRule type="dataBar" id="{81A0C471-9B74-4AE3-94D1-54250C4FEB25}">
            <x14:dataBar minLength="0" maxLength="100" gradient="0">
              <x14:cfvo type="num">
                <xm:f>0</xm:f>
              </x14:cfvo>
              <x14:cfvo type="num">
                <xm:f>1</xm:f>
              </x14:cfvo>
              <x14:negativeFillColor rgb="FFFF0000"/>
              <x14:axisColor rgb="FF000000"/>
            </x14:dataBar>
          </x14:cfRule>
          <xm:sqref>D223</xm:sqref>
        </x14:conditionalFormatting>
        <x14:conditionalFormatting xmlns:xm="http://schemas.microsoft.com/office/excel/2006/main">
          <x14:cfRule type="dataBar" id="{E0C14D7C-5A32-4F53-ABF9-9DCA1B837A42}">
            <x14:dataBar minLength="0" maxLength="100" gradient="0">
              <x14:cfvo type="num">
                <xm:f>0</xm:f>
              </x14:cfvo>
              <x14:cfvo type="num">
                <xm:f>1</xm:f>
              </x14:cfvo>
              <x14:negativeFillColor rgb="FFFF0000"/>
              <x14:axisColor rgb="FF000000"/>
            </x14:dataBar>
          </x14:cfRule>
          <xm:sqref>D225</xm:sqref>
        </x14:conditionalFormatting>
        <x14:conditionalFormatting xmlns:xm="http://schemas.microsoft.com/office/excel/2006/main">
          <x14:cfRule type="dataBar" id="{063407D0-1629-451B-93ED-6CABCE5A483C}">
            <x14:dataBar minLength="0" maxLength="100" gradient="0">
              <x14:cfvo type="num">
                <xm:f>0</xm:f>
              </x14:cfvo>
              <x14:cfvo type="num">
                <xm:f>1</xm:f>
              </x14:cfvo>
              <x14:negativeFillColor rgb="FFFF0000"/>
              <x14:axisColor rgb="FF000000"/>
            </x14:dataBar>
          </x14:cfRule>
          <xm:sqref>D224</xm:sqref>
        </x14:conditionalFormatting>
        <x14:conditionalFormatting xmlns:xm="http://schemas.microsoft.com/office/excel/2006/main">
          <x14:cfRule type="dataBar" id="{A7D6BBE5-9F72-4E65-ABE7-C567DA0F4B04}">
            <x14:dataBar minLength="0" maxLength="100" gradient="0">
              <x14:cfvo type="num">
                <xm:f>0</xm:f>
              </x14:cfvo>
              <x14:cfvo type="num">
                <xm:f>1</xm:f>
              </x14:cfvo>
              <x14:negativeFillColor rgb="FFFF0000"/>
              <x14:axisColor rgb="FF000000"/>
            </x14:dataBar>
          </x14:cfRule>
          <xm:sqref>D226</xm:sqref>
        </x14:conditionalFormatting>
        <x14:conditionalFormatting xmlns:xm="http://schemas.microsoft.com/office/excel/2006/main">
          <x14:cfRule type="dataBar" id="{415C21F2-5059-49C1-BA8D-473DFA29EE51}">
            <x14:dataBar minLength="0" maxLength="100" gradient="0">
              <x14:cfvo type="num">
                <xm:f>0</xm:f>
              </x14:cfvo>
              <x14:cfvo type="num">
                <xm:f>1</xm:f>
              </x14:cfvo>
              <x14:negativeFillColor rgb="FFFF0000"/>
              <x14:axisColor rgb="FF000000"/>
            </x14:dataBar>
          </x14:cfRule>
          <xm:sqref>D231</xm:sqref>
        </x14:conditionalFormatting>
        <x14:conditionalFormatting xmlns:xm="http://schemas.microsoft.com/office/excel/2006/main">
          <x14:cfRule type="dataBar" id="{721B2E3E-5BCA-4806-885E-03786114058A}">
            <x14:dataBar minLength="0" maxLength="100" gradient="0">
              <x14:cfvo type="num">
                <xm:f>0</xm:f>
              </x14:cfvo>
              <x14:cfvo type="num">
                <xm:f>1</xm:f>
              </x14:cfvo>
              <x14:negativeFillColor rgb="FFFF0000"/>
              <x14:axisColor rgb="FF000000"/>
            </x14:dataBar>
          </x14:cfRule>
          <xm:sqref>D230</xm:sqref>
        </x14:conditionalFormatting>
        <x14:conditionalFormatting xmlns:xm="http://schemas.microsoft.com/office/excel/2006/main">
          <x14:cfRule type="dataBar" id="{3A518903-A3DE-4A9A-A7A7-03C684D56BBA}">
            <x14:dataBar minLength="0" maxLength="100" gradient="0">
              <x14:cfvo type="num">
                <xm:f>0</xm:f>
              </x14:cfvo>
              <x14:cfvo type="num">
                <xm:f>1</xm:f>
              </x14:cfvo>
              <x14:negativeFillColor rgb="FFFF0000"/>
              <x14:axisColor rgb="FF000000"/>
            </x14:dataBar>
          </x14:cfRule>
          <xm:sqref>D232</xm:sqref>
        </x14:conditionalFormatting>
        <x14:conditionalFormatting xmlns:xm="http://schemas.microsoft.com/office/excel/2006/main">
          <x14:cfRule type="dataBar" id="{B69ACDBE-700D-4AEC-837C-1B7411F4632B}">
            <x14:dataBar minLength="0" maxLength="100" gradient="0">
              <x14:cfvo type="num">
                <xm:f>0</xm:f>
              </x14:cfvo>
              <x14:cfvo type="num">
                <xm:f>1</xm:f>
              </x14:cfvo>
              <x14:negativeFillColor rgb="FFFF0000"/>
              <x14:axisColor rgb="FF000000"/>
            </x14:dataBar>
          </x14:cfRule>
          <xm:sqref>D234</xm:sqref>
        </x14:conditionalFormatting>
        <x14:conditionalFormatting xmlns:xm="http://schemas.microsoft.com/office/excel/2006/main">
          <x14:cfRule type="dataBar" id="{DE5567E8-CB66-4038-BA2B-D169AAAD83F8}">
            <x14:dataBar minLength="0" maxLength="100" gradient="0">
              <x14:cfvo type="num">
                <xm:f>0</xm:f>
              </x14:cfvo>
              <x14:cfvo type="num">
                <xm:f>1</xm:f>
              </x14:cfvo>
              <x14:negativeFillColor rgb="FFFF0000"/>
              <x14:axisColor rgb="FF000000"/>
            </x14:dataBar>
          </x14:cfRule>
          <xm:sqref>D233</xm:sqref>
        </x14:conditionalFormatting>
        <x14:conditionalFormatting xmlns:xm="http://schemas.microsoft.com/office/excel/2006/main">
          <x14:cfRule type="dataBar" id="{F6D40B49-A534-497A-B0CC-F2B0B218040F}">
            <x14:dataBar minLength="0" maxLength="100" gradient="0">
              <x14:cfvo type="num">
                <xm:f>0</xm:f>
              </x14:cfvo>
              <x14:cfvo type="num">
                <xm:f>1</xm:f>
              </x14:cfvo>
              <x14:negativeFillColor rgb="FFFF0000"/>
              <x14:axisColor rgb="FF000000"/>
            </x14:dataBar>
          </x14:cfRule>
          <xm:sqref>D235</xm:sqref>
        </x14:conditionalFormatting>
        <x14:conditionalFormatting xmlns:xm="http://schemas.microsoft.com/office/excel/2006/main">
          <x14:cfRule type="dataBar" id="{557DBBF0-D027-47D8-98DB-8A7407856B9B}">
            <x14:dataBar minLength="0" maxLength="100" gradient="0">
              <x14:cfvo type="num">
                <xm:f>0</xm:f>
              </x14:cfvo>
              <x14:cfvo type="num">
                <xm:f>1</xm:f>
              </x14:cfvo>
              <x14:negativeFillColor rgb="FFFF0000"/>
              <x14:axisColor rgb="FF000000"/>
            </x14:dataBar>
          </x14:cfRule>
          <xm:sqref>D237</xm:sqref>
        </x14:conditionalFormatting>
        <x14:conditionalFormatting xmlns:xm="http://schemas.microsoft.com/office/excel/2006/main">
          <x14:cfRule type="dataBar" id="{F1CD845A-BB07-4210-83B3-919F55B2838B}">
            <x14:dataBar minLength="0" maxLength="100" gradient="0">
              <x14:cfvo type="num">
                <xm:f>0</xm:f>
              </x14:cfvo>
              <x14:cfvo type="num">
                <xm:f>1</xm:f>
              </x14:cfvo>
              <x14:negativeFillColor rgb="FFFF0000"/>
              <x14:axisColor rgb="FF000000"/>
            </x14:dataBar>
          </x14:cfRule>
          <xm:sqref>D236</xm:sqref>
        </x14:conditionalFormatting>
        <x14:conditionalFormatting xmlns:xm="http://schemas.microsoft.com/office/excel/2006/main">
          <x14:cfRule type="dataBar" id="{67B0E7F8-CD84-42A9-A3B8-B94FEA79FDBC}">
            <x14:dataBar minLength="0" maxLength="100" gradient="0">
              <x14:cfvo type="num">
                <xm:f>0</xm:f>
              </x14:cfvo>
              <x14:cfvo type="num">
                <xm:f>1</xm:f>
              </x14:cfvo>
              <x14:negativeFillColor rgb="FFFF0000"/>
              <x14:axisColor rgb="FF000000"/>
            </x14:dataBar>
          </x14:cfRule>
          <xm:sqref>D238</xm:sqref>
        </x14:conditionalFormatting>
        <x14:conditionalFormatting xmlns:xm="http://schemas.microsoft.com/office/excel/2006/main">
          <x14:cfRule type="dataBar" id="{C17C5A26-57DC-43AB-908A-CD4B3E171EB3}">
            <x14:dataBar minLength="0" maxLength="100" gradient="0">
              <x14:cfvo type="num">
                <xm:f>0</xm:f>
              </x14:cfvo>
              <x14:cfvo type="num">
                <xm:f>1</xm:f>
              </x14:cfvo>
              <x14:negativeFillColor rgb="FFFF0000"/>
              <x14:axisColor rgb="FF000000"/>
            </x14:dataBar>
          </x14:cfRule>
          <xm:sqref>D240</xm:sqref>
        </x14:conditionalFormatting>
        <x14:conditionalFormatting xmlns:xm="http://schemas.microsoft.com/office/excel/2006/main">
          <x14:cfRule type="dataBar" id="{D873A296-C12A-4ED7-BAC3-EDE75235B4CA}">
            <x14:dataBar minLength="0" maxLength="100" gradient="0">
              <x14:cfvo type="num">
                <xm:f>0</xm:f>
              </x14:cfvo>
              <x14:cfvo type="num">
                <xm:f>1</xm:f>
              </x14:cfvo>
              <x14:negativeFillColor rgb="FFFF0000"/>
              <x14:axisColor rgb="FF000000"/>
            </x14:dataBar>
          </x14:cfRule>
          <xm:sqref>D239</xm:sqref>
        </x14:conditionalFormatting>
        <x14:conditionalFormatting xmlns:xm="http://schemas.microsoft.com/office/excel/2006/main">
          <x14:cfRule type="dataBar" id="{63A45EEB-24CC-4C70-BA73-6197219A7E7F}">
            <x14:dataBar minLength="0" maxLength="100" gradient="0">
              <x14:cfvo type="num">
                <xm:f>0</xm:f>
              </x14:cfvo>
              <x14:cfvo type="num">
                <xm:f>1</xm:f>
              </x14:cfvo>
              <x14:negativeFillColor rgb="FFFF0000"/>
              <x14:axisColor rgb="FF000000"/>
            </x14:dataBar>
          </x14:cfRule>
          <xm:sqref>D241</xm:sqref>
        </x14:conditionalFormatting>
        <x14:conditionalFormatting xmlns:xm="http://schemas.microsoft.com/office/excel/2006/main">
          <x14:cfRule type="dataBar" id="{093EA524-A93B-41E7-8F32-FEC3C8BCDA0E}">
            <x14:dataBar minLength="0" maxLength="100" gradient="0">
              <x14:cfvo type="num">
                <xm:f>0</xm:f>
              </x14:cfvo>
              <x14:cfvo type="num">
                <xm:f>1</xm:f>
              </x14:cfvo>
              <x14:negativeFillColor rgb="FFFF0000"/>
              <x14:axisColor rgb="FF000000"/>
            </x14:dataBar>
          </x14:cfRule>
          <xm:sqref>D243</xm:sqref>
        </x14:conditionalFormatting>
        <x14:conditionalFormatting xmlns:xm="http://schemas.microsoft.com/office/excel/2006/main">
          <x14:cfRule type="dataBar" id="{9817AF3F-1E5F-40E5-91A0-64D57DB97DD1}">
            <x14:dataBar minLength="0" maxLength="100" gradient="0">
              <x14:cfvo type="num">
                <xm:f>0</xm:f>
              </x14:cfvo>
              <x14:cfvo type="num">
                <xm:f>1</xm:f>
              </x14:cfvo>
              <x14:negativeFillColor rgb="FFFF0000"/>
              <x14:axisColor rgb="FF000000"/>
            </x14:dataBar>
          </x14:cfRule>
          <xm:sqref>D242</xm:sqref>
        </x14:conditionalFormatting>
        <x14:conditionalFormatting xmlns:xm="http://schemas.microsoft.com/office/excel/2006/main">
          <x14:cfRule type="dataBar" id="{81E3A1C8-ECC7-401E-A79B-89FE1274FFC3}">
            <x14:dataBar minLength="0" maxLength="100" gradient="0">
              <x14:cfvo type="num">
                <xm:f>0</xm:f>
              </x14:cfvo>
              <x14:cfvo type="num">
                <xm:f>1</xm:f>
              </x14:cfvo>
              <x14:negativeFillColor rgb="FFFF0000"/>
              <x14:axisColor rgb="FF000000"/>
            </x14:dataBar>
          </x14:cfRule>
          <xm:sqref>D244</xm:sqref>
        </x14:conditionalFormatting>
        <x14:conditionalFormatting xmlns:xm="http://schemas.microsoft.com/office/excel/2006/main">
          <x14:cfRule type="dataBar" id="{7E321A92-2582-4C0B-A9F9-3509E9DC4F79}">
            <x14:dataBar minLength="0" maxLength="100" gradient="0">
              <x14:cfvo type="num">
                <xm:f>0</xm:f>
              </x14:cfvo>
              <x14:cfvo type="num">
                <xm:f>1</xm:f>
              </x14:cfvo>
              <x14:negativeFillColor rgb="FFFF0000"/>
              <x14:axisColor rgb="FF000000"/>
            </x14:dataBar>
          </x14:cfRule>
          <xm:sqref>D246</xm:sqref>
        </x14:conditionalFormatting>
        <x14:conditionalFormatting xmlns:xm="http://schemas.microsoft.com/office/excel/2006/main">
          <x14:cfRule type="dataBar" id="{7AD55B82-BBE8-4AEA-A7F6-53C6F805677F}">
            <x14:dataBar minLength="0" maxLength="100" gradient="0">
              <x14:cfvo type="num">
                <xm:f>0</xm:f>
              </x14:cfvo>
              <x14:cfvo type="num">
                <xm:f>1</xm:f>
              </x14:cfvo>
              <x14:negativeFillColor rgb="FFFF0000"/>
              <x14:axisColor rgb="FF000000"/>
            </x14:dataBar>
          </x14:cfRule>
          <xm:sqref>D245</xm:sqref>
        </x14:conditionalFormatting>
        <x14:conditionalFormatting xmlns:xm="http://schemas.microsoft.com/office/excel/2006/main">
          <x14:cfRule type="dataBar" id="{05603C8E-F32A-4416-A667-271E3E598BC9}">
            <x14:dataBar minLength="0" maxLength="100" gradient="0">
              <x14:cfvo type="num">
                <xm:f>0</xm:f>
              </x14:cfvo>
              <x14:cfvo type="num">
                <xm:f>1</xm:f>
              </x14:cfvo>
              <x14:negativeFillColor rgb="FFFF0000"/>
              <x14:axisColor rgb="FF000000"/>
            </x14:dataBar>
          </x14:cfRule>
          <xm:sqref>D247</xm:sqref>
        </x14:conditionalFormatting>
        <x14:conditionalFormatting xmlns:xm="http://schemas.microsoft.com/office/excel/2006/main">
          <x14:cfRule type="dataBar" id="{35A03A4D-5C0F-4D17-9B82-2C1807F28736}">
            <x14:dataBar minLength="0" maxLength="100" gradient="0">
              <x14:cfvo type="num">
                <xm:f>0</xm:f>
              </x14:cfvo>
              <x14:cfvo type="num">
                <xm:f>1</xm:f>
              </x14:cfvo>
              <x14:negativeFillColor rgb="FFFF0000"/>
              <x14:axisColor rgb="FF000000"/>
            </x14:dataBar>
          </x14:cfRule>
          <xm:sqref>D248</xm:sqref>
        </x14:conditionalFormatting>
        <x14:conditionalFormatting xmlns:xm="http://schemas.microsoft.com/office/excel/2006/main">
          <x14:cfRule type="dataBar" id="{89F39A3E-FB75-4200-8E6C-13365469E824}">
            <x14:dataBar minLength="0" maxLength="100" gradient="0">
              <x14:cfvo type="num">
                <xm:f>0</xm:f>
              </x14:cfvo>
              <x14:cfvo type="num">
                <xm:f>1</xm:f>
              </x14:cfvo>
              <x14:negativeFillColor rgb="FFFF0000"/>
              <x14:axisColor rgb="FF000000"/>
            </x14:dataBar>
          </x14:cfRule>
          <xm:sqref>D250</xm:sqref>
        </x14:conditionalFormatting>
        <x14:conditionalFormatting xmlns:xm="http://schemas.microsoft.com/office/excel/2006/main">
          <x14:cfRule type="dataBar" id="{8236C168-07DA-473D-99E6-3A657EECE6D6}">
            <x14:dataBar minLength="0" maxLength="100" gradient="0">
              <x14:cfvo type="num">
                <xm:f>0</xm:f>
              </x14:cfvo>
              <x14:cfvo type="num">
                <xm:f>1</xm:f>
              </x14:cfvo>
              <x14:negativeFillColor rgb="FFFF0000"/>
              <x14:axisColor rgb="FF000000"/>
            </x14:dataBar>
          </x14:cfRule>
          <xm:sqref>D249</xm:sqref>
        </x14:conditionalFormatting>
        <x14:conditionalFormatting xmlns:xm="http://schemas.microsoft.com/office/excel/2006/main">
          <x14:cfRule type="dataBar" id="{C22BF216-B1F7-445B-8EFD-9E234C75FC26}">
            <x14:dataBar minLength="0" maxLength="100" gradient="0">
              <x14:cfvo type="num">
                <xm:f>0</xm:f>
              </x14:cfvo>
              <x14:cfvo type="num">
                <xm:f>1</xm:f>
              </x14:cfvo>
              <x14:negativeFillColor rgb="FFFF0000"/>
              <x14:axisColor rgb="FF000000"/>
            </x14:dataBar>
          </x14:cfRule>
          <xm:sqref>D148</xm:sqref>
        </x14:conditionalFormatting>
        <x14:conditionalFormatting xmlns:xm="http://schemas.microsoft.com/office/excel/2006/main">
          <x14:cfRule type="dataBar" id="{A3C73A2C-8F63-4150-9C06-9405C3E0D633}">
            <x14:dataBar minLength="0" maxLength="100" gradient="0">
              <x14:cfvo type="num">
                <xm:f>0</xm:f>
              </x14:cfvo>
              <x14:cfvo type="num">
                <xm:f>1</xm:f>
              </x14:cfvo>
              <x14:negativeFillColor rgb="FFFF0000"/>
              <x14:axisColor rgb="FF000000"/>
            </x14:dataBar>
          </x14:cfRule>
          <xm:sqref>D150</xm:sqref>
        </x14:conditionalFormatting>
        <x14:conditionalFormatting xmlns:xm="http://schemas.microsoft.com/office/excel/2006/main">
          <x14:cfRule type="dataBar" id="{F63552F5-153B-4D70-8C45-E2447D618B6E}">
            <x14:dataBar minLength="0" maxLength="100" gradient="0">
              <x14:cfvo type="num">
                <xm:f>0</xm:f>
              </x14:cfvo>
              <x14:cfvo type="num">
                <xm:f>1</xm:f>
              </x14:cfvo>
              <x14:negativeFillColor rgb="FFFF0000"/>
              <x14:axisColor rgb="FF000000"/>
            </x14:dataBar>
          </x14:cfRule>
          <xm:sqref>D149</xm:sqref>
        </x14:conditionalFormatting>
        <x14:conditionalFormatting xmlns:xm="http://schemas.microsoft.com/office/excel/2006/main">
          <x14:cfRule type="dataBar" id="{FB2CA98D-61CF-49DD-8E33-0B1174047629}">
            <x14:dataBar minLength="0" maxLength="100" gradient="0">
              <x14:cfvo type="num">
                <xm:f>0</xm:f>
              </x14:cfvo>
              <x14:cfvo type="num">
                <xm:f>1</xm:f>
              </x14:cfvo>
              <x14:negativeFillColor rgb="FFFF0000"/>
              <x14:axisColor rgb="FF000000"/>
            </x14:dataBar>
          </x14:cfRule>
          <xm:sqref>D151</xm:sqref>
        </x14:conditionalFormatting>
        <x14:conditionalFormatting xmlns:xm="http://schemas.microsoft.com/office/excel/2006/main">
          <x14:cfRule type="dataBar" id="{77CEF662-CC04-42DC-9750-1B2241CCB241}">
            <x14:dataBar minLength="0" maxLength="100" gradient="0">
              <x14:cfvo type="num">
                <xm:f>0</xm:f>
              </x14:cfvo>
              <x14:cfvo type="num">
                <xm:f>1</xm:f>
              </x14:cfvo>
              <x14:negativeFillColor rgb="FFFF0000"/>
              <x14:axisColor rgb="FF000000"/>
            </x14:dataBar>
          </x14:cfRule>
          <xm:sqref>D152</xm:sqref>
        </x14:conditionalFormatting>
        <x14:conditionalFormatting xmlns:xm="http://schemas.microsoft.com/office/excel/2006/main">
          <x14:cfRule type="dataBar" id="{B6B71966-F671-4649-A34D-3566F4DEE7E9}">
            <x14:dataBar minLength="0" maxLength="100" gradient="0">
              <x14:cfvo type="num">
                <xm:f>0</xm:f>
              </x14:cfvo>
              <x14:cfvo type="num">
                <xm:f>1</xm:f>
              </x14:cfvo>
              <x14:negativeFillColor rgb="FFFF0000"/>
              <x14:axisColor rgb="FF000000"/>
            </x14:dataBar>
          </x14:cfRule>
          <xm:sqref>D156</xm:sqref>
        </x14:conditionalFormatting>
        <x14:conditionalFormatting xmlns:xm="http://schemas.microsoft.com/office/excel/2006/main">
          <x14:cfRule type="dataBar" id="{6FA114EF-F743-4DDF-8319-5A6ADBC04028}">
            <x14:dataBar minLength="0" maxLength="100" gradient="0">
              <x14:cfvo type="num">
                <xm:f>0</xm:f>
              </x14:cfvo>
              <x14:cfvo type="num">
                <xm:f>1</xm:f>
              </x14:cfvo>
              <x14:negativeFillColor rgb="FFFF0000"/>
              <x14:axisColor rgb="FF000000"/>
            </x14:dataBar>
          </x14:cfRule>
          <xm:sqref>D155</xm:sqref>
        </x14:conditionalFormatting>
        <x14:conditionalFormatting xmlns:xm="http://schemas.microsoft.com/office/excel/2006/main">
          <x14:cfRule type="dataBar" id="{D7A08F8B-9727-47EC-9192-05D60EEB7A6D}">
            <x14:dataBar minLength="0" maxLength="100" gradient="0">
              <x14:cfvo type="num">
                <xm:f>0</xm:f>
              </x14:cfvo>
              <x14:cfvo type="num">
                <xm:f>1</xm:f>
              </x14:cfvo>
              <x14:negativeFillColor rgb="FFFF0000"/>
              <x14:axisColor rgb="FF000000"/>
            </x14:dataBar>
          </x14:cfRule>
          <xm:sqref>D157</xm:sqref>
        </x14:conditionalFormatting>
        <x14:conditionalFormatting xmlns:xm="http://schemas.microsoft.com/office/excel/2006/main">
          <x14:cfRule type="dataBar" id="{3F18F9E0-7BB3-40FD-B65B-6195BCECCB1F}">
            <x14:dataBar minLength="0" maxLength="100" gradient="0">
              <x14:cfvo type="num">
                <xm:f>0</xm:f>
              </x14:cfvo>
              <x14:cfvo type="num">
                <xm:f>1</xm:f>
              </x14:cfvo>
              <x14:negativeFillColor rgb="FFFF0000"/>
              <x14:axisColor rgb="FF000000"/>
            </x14:dataBar>
          </x14:cfRule>
          <xm:sqref>D158</xm:sqref>
        </x14:conditionalFormatting>
        <x14:conditionalFormatting xmlns:xm="http://schemas.microsoft.com/office/excel/2006/main">
          <x14:cfRule type="dataBar" id="{01EE4342-C55D-4A0A-848D-A35AC7DE1B79}">
            <x14:dataBar minLength="0" maxLength="100" gradient="0">
              <x14:cfvo type="num">
                <xm:f>0</xm:f>
              </x14:cfvo>
              <x14:cfvo type="num">
                <xm:f>1</xm:f>
              </x14:cfvo>
              <x14:negativeFillColor rgb="FFFF0000"/>
              <x14:axisColor rgb="FF000000"/>
            </x14:dataBar>
          </x14:cfRule>
          <xm:sqref>D153</xm:sqref>
        </x14:conditionalFormatting>
        <x14:conditionalFormatting xmlns:xm="http://schemas.microsoft.com/office/excel/2006/main">
          <x14:cfRule type="dataBar" id="{BA11624C-DA0C-4FF5-BB0D-93D490DB053D}">
            <x14:dataBar minLength="0" maxLength="100" gradient="0">
              <x14:cfvo type="num">
                <xm:f>0</xm:f>
              </x14:cfvo>
              <x14:cfvo type="num">
                <xm:f>1</xm:f>
              </x14:cfvo>
              <x14:negativeFillColor rgb="FFFF0000"/>
              <x14:axisColor rgb="FF000000"/>
            </x14:dataBar>
          </x14:cfRule>
          <xm:sqref>D159</xm:sqref>
        </x14:conditionalFormatting>
        <x14:conditionalFormatting xmlns:xm="http://schemas.microsoft.com/office/excel/2006/main">
          <x14:cfRule type="dataBar" id="{C5E0E114-7228-4E5F-B6C8-29C1BE043DAA}">
            <x14:dataBar minLength="0" maxLength="100" gradient="0">
              <x14:cfvo type="num">
                <xm:f>0</xm:f>
              </x14:cfvo>
              <x14:cfvo type="num">
                <xm:f>1</xm:f>
              </x14:cfvo>
              <x14:negativeFillColor rgb="FFFF0000"/>
              <x14:axisColor rgb="FF000000"/>
            </x14:dataBar>
          </x14:cfRule>
          <xm:sqref>D154</xm:sqref>
        </x14:conditionalFormatting>
        <x14:conditionalFormatting xmlns:xm="http://schemas.microsoft.com/office/excel/2006/main">
          <x14:cfRule type="dataBar" id="{3E3EA41F-0C19-43BD-8414-21CF841E88B2}">
            <x14:dataBar minLength="0" maxLength="100" gradient="0">
              <x14:cfvo type="num">
                <xm:f>0</xm:f>
              </x14:cfvo>
              <x14:cfvo type="num">
                <xm:f>1</xm:f>
              </x14:cfvo>
              <x14:negativeFillColor rgb="FFFF0000"/>
              <x14:axisColor rgb="FF000000"/>
            </x14:dataBar>
          </x14:cfRule>
          <xm:sqref>D160</xm:sqref>
        </x14:conditionalFormatting>
        <x14:conditionalFormatting xmlns:xm="http://schemas.microsoft.com/office/excel/2006/main">
          <x14:cfRule type="dataBar" id="{42CC71CE-A3D1-4168-9AF4-15EB00108095}">
            <x14:dataBar minLength="0" maxLength="100" gradient="0">
              <x14:cfvo type="num">
                <xm:f>0</xm:f>
              </x14:cfvo>
              <x14:cfvo type="num">
                <xm:f>1</xm:f>
              </x14:cfvo>
              <x14:negativeFillColor rgb="FFFF0000"/>
              <x14:axisColor rgb="FF000000"/>
            </x14:dataBar>
          </x14:cfRule>
          <xm:sqref>D162</xm:sqref>
        </x14:conditionalFormatting>
        <x14:conditionalFormatting xmlns:xm="http://schemas.microsoft.com/office/excel/2006/main">
          <x14:cfRule type="dataBar" id="{5BBA960D-B0F2-46B8-BE2F-A9EA455EDBD6}">
            <x14:dataBar minLength="0" maxLength="100" gradient="0">
              <x14:cfvo type="num">
                <xm:f>0</xm:f>
              </x14:cfvo>
              <x14:cfvo type="num">
                <xm:f>1</xm:f>
              </x14:cfvo>
              <x14:negativeFillColor rgb="FFFF0000"/>
              <x14:axisColor rgb="FF000000"/>
            </x14:dataBar>
          </x14:cfRule>
          <xm:sqref>D161</xm:sqref>
        </x14:conditionalFormatting>
        <x14:conditionalFormatting xmlns:xm="http://schemas.microsoft.com/office/excel/2006/main">
          <x14:cfRule type="dataBar" id="{3972B8CB-3CD6-4DD5-B042-D8644CBD22D7}">
            <x14:dataBar minLength="0" maxLength="100" gradient="0">
              <x14:cfvo type="num">
                <xm:f>0</xm:f>
              </x14:cfvo>
              <x14:cfvo type="num">
                <xm:f>1</xm:f>
              </x14:cfvo>
              <x14:negativeFillColor rgb="FFFF0000"/>
              <x14:axisColor rgb="FF000000"/>
            </x14:dataBar>
          </x14:cfRule>
          <xm:sqref>D163</xm:sqref>
        </x14:conditionalFormatting>
        <x14:conditionalFormatting xmlns:xm="http://schemas.microsoft.com/office/excel/2006/main">
          <x14:cfRule type="dataBar" id="{8A74B307-E859-492E-98F7-1602E133A620}">
            <x14:dataBar minLength="0" maxLength="100" gradient="0">
              <x14:cfvo type="num">
                <xm:f>0</xm:f>
              </x14:cfvo>
              <x14:cfvo type="num">
                <xm:f>1</xm:f>
              </x14:cfvo>
              <x14:negativeFillColor rgb="FFFF0000"/>
              <x14:axisColor rgb="FF000000"/>
            </x14:dataBar>
          </x14:cfRule>
          <xm:sqref>D164</xm:sqref>
        </x14:conditionalFormatting>
        <x14:conditionalFormatting xmlns:xm="http://schemas.microsoft.com/office/excel/2006/main">
          <x14:cfRule type="dataBar" id="{C2830731-C2F8-409A-8F8A-35D838AC8FD6}">
            <x14:dataBar minLength="0" maxLength="100" gradient="0">
              <x14:cfvo type="num">
                <xm:f>0</xm:f>
              </x14:cfvo>
              <x14:cfvo type="num">
                <xm:f>1</xm:f>
              </x14:cfvo>
              <x14:negativeFillColor rgb="FFFF0000"/>
              <x14:axisColor rgb="FF000000"/>
            </x14:dataBar>
          </x14:cfRule>
          <xm:sqref>D165</xm:sqref>
        </x14:conditionalFormatting>
        <x14:conditionalFormatting xmlns:xm="http://schemas.microsoft.com/office/excel/2006/main">
          <x14:cfRule type="dataBar" id="{B75399C5-2860-4461-A7D6-525489DB59AF}">
            <x14:dataBar minLength="0" maxLength="100" gradient="0">
              <x14:cfvo type="num">
                <xm:f>0</xm:f>
              </x14:cfvo>
              <x14:cfvo type="num">
                <xm:f>1</xm:f>
              </x14:cfvo>
              <x14:negativeFillColor rgb="FFFF0000"/>
              <x14:axisColor rgb="FF000000"/>
            </x14:dataBar>
          </x14:cfRule>
          <xm:sqref>D166</xm:sqref>
        </x14:conditionalFormatting>
        <x14:conditionalFormatting xmlns:xm="http://schemas.microsoft.com/office/excel/2006/main">
          <x14:cfRule type="dataBar" id="{C7D4469A-DBA4-4C52-84E6-64C5162084A1}">
            <x14:dataBar minLength="0" maxLength="100" gradient="0">
              <x14:cfvo type="num">
                <xm:f>0</xm:f>
              </x14:cfvo>
              <x14:cfvo type="num">
                <xm:f>1</xm:f>
              </x14:cfvo>
              <x14:negativeFillColor rgb="FFFF0000"/>
              <x14:axisColor rgb="FF000000"/>
            </x14:dataBar>
          </x14:cfRule>
          <xm:sqref>D168</xm:sqref>
        </x14:conditionalFormatting>
        <x14:conditionalFormatting xmlns:xm="http://schemas.microsoft.com/office/excel/2006/main">
          <x14:cfRule type="dataBar" id="{985F9EAE-0E86-45D2-8CA6-3FCAA02690F2}">
            <x14:dataBar minLength="0" maxLength="100" gradient="0">
              <x14:cfvo type="num">
                <xm:f>0</xm:f>
              </x14:cfvo>
              <x14:cfvo type="num">
                <xm:f>1</xm:f>
              </x14:cfvo>
              <x14:negativeFillColor rgb="FFFF0000"/>
              <x14:axisColor rgb="FF000000"/>
            </x14:dataBar>
          </x14:cfRule>
          <xm:sqref>D167</xm:sqref>
        </x14:conditionalFormatting>
        <x14:conditionalFormatting xmlns:xm="http://schemas.microsoft.com/office/excel/2006/main">
          <x14:cfRule type="dataBar" id="{B95E7B64-DF2F-4DC7-98CC-055AC83C9DC0}">
            <x14:dataBar minLength="0" maxLength="100" gradient="0">
              <x14:cfvo type="num">
                <xm:f>0</xm:f>
              </x14:cfvo>
              <x14:cfvo type="num">
                <xm:f>1</xm:f>
              </x14:cfvo>
              <x14:negativeFillColor rgb="FFFF0000"/>
              <x14:axisColor rgb="FF000000"/>
            </x14:dataBar>
          </x14:cfRule>
          <xm:sqref>D169</xm:sqref>
        </x14:conditionalFormatting>
        <x14:conditionalFormatting xmlns:xm="http://schemas.microsoft.com/office/excel/2006/main">
          <x14:cfRule type="dataBar" id="{A0B068D3-11EE-4B89-B6F5-500C88ADBC61}">
            <x14:dataBar minLength="0" maxLength="100" gradient="0">
              <x14:cfvo type="num">
                <xm:f>0</xm:f>
              </x14:cfvo>
              <x14:cfvo type="num">
                <xm:f>1</xm:f>
              </x14:cfvo>
              <x14:negativeFillColor rgb="FFFF0000"/>
              <x14:axisColor rgb="FF000000"/>
            </x14:dataBar>
          </x14:cfRule>
          <xm:sqref>D170</xm:sqref>
        </x14:conditionalFormatting>
        <x14:conditionalFormatting xmlns:xm="http://schemas.microsoft.com/office/excel/2006/main">
          <x14:cfRule type="dataBar" id="{F940EF4A-505B-4CC1-87A7-3464C1338062}">
            <x14:dataBar minLength="0" maxLength="100" gradient="0">
              <x14:cfvo type="num">
                <xm:f>0</xm:f>
              </x14:cfvo>
              <x14:cfvo type="num">
                <xm:f>1</xm:f>
              </x14:cfvo>
              <x14:negativeFillColor rgb="FFFF0000"/>
              <x14:axisColor rgb="FF000000"/>
            </x14:dataBar>
          </x14:cfRule>
          <xm:sqref>D171</xm:sqref>
        </x14:conditionalFormatting>
        <x14:conditionalFormatting xmlns:xm="http://schemas.microsoft.com/office/excel/2006/main">
          <x14:cfRule type="dataBar" id="{93B278CC-6146-4F90-9749-368150FB7B03}">
            <x14:dataBar minLength="0" maxLength="100" gradient="0">
              <x14:cfvo type="num">
                <xm:f>0</xm:f>
              </x14:cfvo>
              <x14:cfvo type="num">
                <xm:f>1</xm:f>
              </x14:cfvo>
              <x14:negativeFillColor rgb="FFFF0000"/>
              <x14:axisColor rgb="FF000000"/>
            </x14:dataBar>
          </x14:cfRule>
          <xm:sqref>D172</xm:sqref>
        </x14:conditionalFormatting>
        <x14:conditionalFormatting xmlns:xm="http://schemas.microsoft.com/office/excel/2006/main">
          <x14:cfRule type="dataBar" id="{819ACC5C-E1A5-4B63-AE46-2FDDFCED3F81}">
            <x14:dataBar minLength="0" maxLength="100" gradient="0">
              <x14:cfvo type="num">
                <xm:f>0</xm:f>
              </x14:cfvo>
              <x14:cfvo type="num">
                <xm:f>1</xm:f>
              </x14:cfvo>
              <x14:negativeFillColor rgb="FFFF0000"/>
              <x14:axisColor rgb="FF000000"/>
            </x14:dataBar>
          </x14:cfRule>
          <xm:sqref>D173</xm:sqref>
        </x14:conditionalFormatting>
        <x14:conditionalFormatting xmlns:xm="http://schemas.microsoft.com/office/excel/2006/main">
          <x14:cfRule type="dataBar" id="{D74C6274-D573-4B37-BC18-BC2AB2563C3A}">
            <x14:dataBar minLength="0" maxLength="100" gradient="0">
              <x14:cfvo type="num">
                <xm:f>0</xm:f>
              </x14:cfvo>
              <x14:cfvo type="num">
                <xm:f>1</xm:f>
              </x14:cfvo>
              <x14:negativeFillColor rgb="FFFF0000"/>
              <x14:axisColor rgb="FF000000"/>
            </x14:dataBar>
          </x14:cfRule>
          <xm:sqref>D175</xm:sqref>
        </x14:conditionalFormatting>
        <x14:conditionalFormatting xmlns:xm="http://schemas.microsoft.com/office/excel/2006/main">
          <x14:cfRule type="dataBar" id="{919D6940-1696-4CB2-A9E2-1B60B54098C4}">
            <x14:dataBar minLength="0" maxLength="100" gradient="0">
              <x14:cfvo type="num">
                <xm:f>0</xm:f>
              </x14:cfvo>
              <x14:cfvo type="num">
                <xm:f>1</xm:f>
              </x14:cfvo>
              <x14:negativeFillColor rgb="FFFF0000"/>
              <x14:axisColor rgb="FF000000"/>
            </x14:dataBar>
          </x14:cfRule>
          <xm:sqref>D174</xm:sqref>
        </x14:conditionalFormatting>
        <x14:conditionalFormatting xmlns:xm="http://schemas.microsoft.com/office/excel/2006/main">
          <x14:cfRule type="dataBar" id="{F3E38615-D651-4D55-B1DF-896576120301}">
            <x14:dataBar minLength="0" maxLength="100" gradient="0">
              <x14:cfvo type="num">
                <xm:f>0</xm:f>
              </x14:cfvo>
              <x14:cfvo type="num">
                <xm:f>1</xm:f>
              </x14:cfvo>
              <x14:negativeFillColor rgb="FFFF0000"/>
              <x14:axisColor rgb="FF000000"/>
            </x14:dataBar>
          </x14:cfRule>
          <xm:sqref>D176</xm:sqref>
        </x14:conditionalFormatting>
        <x14:conditionalFormatting xmlns:xm="http://schemas.microsoft.com/office/excel/2006/main">
          <x14:cfRule type="dataBar" id="{E6590DB5-4A53-4B89-BAC6-F3C91BF0035C}">
            <x14:dataBar minLength="0" maxLength="100" gradient="0">
              <x14:cfvo type="num">
                <xm:f>0</xm:f>
              </x14:cfvo>
              <x14:cfvo type="num">
                <xm:f>1</xm:f>
              </x14:cfvo>
              <x14:negativeFillColor rgb="FFFF0000"/>
              <x14:axisColor rgb="FF000000"/>
            </x14:dataBar>
          </x14:cfRule>
          <xm:sqref>D178</xm:sqref>
        </x14:conditionalFormatting>
        <x14:conditionalFormatting xmlns:xm="http://schemas.microsoft.com/office/excel/2006/main">
          <x14:cfRule type="dataBar" id="{C52E4701-D962-442B-829F-9FC39105DAAE}">
            <x14:dataBar minLength="0" maxLength="100" gradient="0">
              <x14:cfvo type="num">
                <xm:f>0</xm:f>
              </x14:cfvo>
              <x14:cfvo type="num">
                <xm:f>1</xm:f>
              </x14:cfvo>
              <x14:negativeFillColor rgb="FFFF0000"/>
              <x14:axisColor rgb="FF000000"/>
            </x14:dataBar>
          </x14:cfRule>
          <xm:sqref>D177</xm:sqref>
        </x14:conditionalFormatting>
        <x14:conditionalFormatting xmlns:xm="http://schemas.microsoft.com/office/excel/2006/main">
          <x14:cfRule type="dataBar" id="{39404B7D-54C0-45C5-97A7-E185845FC5ED}">
            <x14:dataBar minLength="0" maxLength="100" gradient="0">
              <x14:cfvo type="num">
                <xm:f>0</xm:f>
              </x14:cfvo>
              <x14:cfvo type="num">
                <xm:f>1</xm:f>
              </x14:cfvo>
              <x14:negativeFillColor rgb="FFFF0000"/>
              <x14:axisColor rgb="FF000000"/>
            </x14:dataBar>
          </x14:cfRule>
          <xm:sqref>D180</xm:sqref>
        </x14:conditionalFormatting>
        <x14:conditionalFormatting xmlns:xm="http://schemas.microsoft.com/office/excel/2006/main">
          <x14:cfRule type="dataBar" id="{30802C17-67E1-4CEE-A30A-5D77DD654491}">
            <x14:dataBar minLength="0" maxLength="100" gradient="0">
              <x14:cfvo type="num">
                <xm:f>0</xm:f>
              </x14:cfvo>
              <x14:cfvo type="num">
                <xm:f>1</xm:f>
              </x14:cfvo>
              <x14:negativeFillColor rgb="FFFF0000"/>
              <x14:axisColor rgb="FF000000"/>
            </x14:dataBar>
          </x14:cfRule>
          <xm:sqref>D179</xm:sqref>
        </x14:conditionalFormatting>
        <x14:conditionalFormatting xmlns:xm="http://schemas.microsoft.com/office/excel/2006/main">
          <x14:cfRule type="dataBar" id="{F8917D72-1D7E-4007-957B-7CF8F6A26EEF}">
            <x14:dataBar minLength="0" maxLength="100" gradient="0">
              <x14:cfvo type="num">
                <xm:f>0</xm:f>
              </x14:cfvo>
              <x14:cfvo type="num">
                <xm:f>1</xm:f>
              </x14:cfvo>
              <x14:negativeFillColor rgb="FFFF0000"/>
              <x14:axisColor rgb="FF000000"/>
            </x14:dataBar>
          </x14:cfRule>
          <xm:sqref>D181</xm:sqref>
        </x14:conditionalFormatting>
        <x14:conditionalFormatting xmlns:xm="http://schemas.microsoft.com/office/excel/2006/main">
          <x14:cfRule type="dataBar" id="{B17479D6-21E3-4922-B118-39D2C8B15334}">
            <x14:dataBar minLength="0" maxLength="100" gradient="0">
              <x14:cfvo type="num">
                <xm:f>0</xm:f>
              </x14:cfvo>
              <x14:cfvo type="num">
                <xm:f>1</xm:f>
              </x14:cfvo>
              <x14:negativeFillColor rgb="FFFF0000"/>
              <x14:axisColor rgb="FF000000"/>
            </x14:dataBar>
          </x14:cfRule>
          <xm:sqref>D182</xm:sqref>
        </x14:conditionalFormatting>
        <x14:conditionalFormatting xmlns:xm="http://schemas.microsoft.com/office/excel/2006/main">
          <x14:cfRule type="dataBar" id="{46989F0D-F1EC-4D21-A067-9FC0B7AAB660}">
            <x14:dataBar minLength="0" maxLength="100" gradient="0">
              <x14:cfvo type="num">
                <xm:f>0</xm:f>
              </x14:cfvo>
              <x14:cfvo type="num">
                <xm:f>1</xm:f>
              </x14:cfvo>
              <x14:negativeFillColor rgb="FFFF0000"/>
              <x14:axisColor rgb="FF000000"/>
            </x14:dataBar>
          </x14:cfRule>
          <xm:sqref>D184</xm:sqref>
        </x14:conditionalFormatting>
        <x14:conditionalFormatting xmlns:xm="http://schemas.microsoft.com/office/excel/2006/main">
          <x14:cfRule type="dataBar" id="{2EE046EC-41B5-4208-A6B4-30D2315F42C1}">
            <x14:dataBar minLength="0" maxLength="100" gradient="0">
              <x14:cfvo type="num">
                <xm:f>0</xm:f>
              </x14:cfvo>
              <x14:cfvo type="num">
                <xm:f>1</xm:f>
              </x14:cfvo>
              <x14:negativeFillColor rgb="FFFF0000"/>
              <x14:axisColor rgb="FF000000"/>
            </x14:dataBar>
          </x14:cfRule>
          <xm:sqref>D183</xm:sqref>
        </x14:conditionalFormatting>
        <x14:conditionalFormatting xmlns:xm="http://schemas.microsoft.com/office/excel/2006/main">
          <x14:cfRule type="dataBar" id="{C4C01F15-D98D-422E-BAA8-6B4BDEADB0C8}">
            <x14:dataBar minLength="0" maxLength="100" gradient="0">
              <x14:cfvo type="num">
                <xm:f>0</xm:f>
              </x14:cfvo>
              <x14:cfvo type="num">
                <xm:f>1</xm:f>
              </x14:cfvo>
              <x14:negativeFillColor rgb="FFFF0000"/>
              <x14:axisColor rgb="FF000000"/>
            </x14:dataBar>
          </x14:cfRule>
          <xm:sqref>D185</xm:sqref>
        </x14:conditionalFormatting>
        <x14:conditionalFormatting xmlns:xm="http://schemas.microsoft.com/office/excel/2006/main">
          <x14:cfRule type="dataBar" id="{30B2B900-D7DC-49A0-B633-44740662E41E}">
            <x14:dataBar minLength="0" maxLength="100" gradient="0">
              <x14:cfvo type="num">
                <xm:f>0</xm:f>
              </x14:cfvo>
              <x14:cfvo type="num">
                <xm:f>1</xm:f>
              </x14:cfvo>
              <x14:negativeFillColor rgb="FFFF0000"/>
              <x14:axisColor rgb="FF000000"/>
            </x14:dataBar>
          </x14:cfRule>
          <xm:sqref>D256:D258</xm:sqref>
        </x14:conditionalFormatting>
        <x14:conditionalFormatting xmlns:xm="http://schemas.microsoft.com/office/excel/2006/main">
          <x14:cfRule type="dataBar" id="{01413176-C9AC-497A-B84F-0ED4AB9968BC}">
            <x14:dataBar minLength="0" maxLength="100" gradient="0">
              <x14:cfvo type="num">
                <xm:f>0</xm:f>
              </x14:cfvo>
              <x14:cfvo type="num">
                <xm:f>1</xm:f>
              </x14:cfvo>
              <x14:negativeFillColor rgb="FFFF0000"/>
              <x14:axisColor rgb="FF000000"/>
            </x14:dataBar>
          </x14:cfRule>
          <xm:sqref>D259:D260</xm:sqref>
        </x14:conditionalFormatting>
        <x14:conditionalFormatting xmlns:xm="http://schemas.microsoft.com/office/excel/2006/main">
          <x14:cfRule type="dataBar" id="{E948AA0A-F67D-4A6D-845C-0AB0CD1FA39A}">
            <x14:dataBar minLength="0" maxLength="100" gradient="0">
              <x14:cfvo type="num">
                <xm:f>0</xm:f>
              </x14:cfvo>
              <x14:cfvo type="num">
                <xm:f>1</xm:f>
              </x14:cfvo>
              <x14:negativeFillColor rgb="FFFF0000"/>
              <x14:axisColor rgb="FF000000"/>
            </x14:dataBar>
          </x14:cfRule>
          <xm:sqref>D262:D264</xm:sqref>
        </x14:conditionalFormatting>
        <x14:conditionalFormatting xmlns:xm="http://schemas.microsoft.com/office/excel/2006/main">
          <x14:cfRule type="dataBar" id="{40E555EF-DD95-4527-A2F3-EBAC0FF71082}">
            <x14:dataBar minLength="0" maxLength="100" gradient="0">
              <x14:cfvo type="num">
                <xm:f>0</xm:f>
              </x14:cfvo>
              <x14:cfvo type="num">
                <xm:f>1</xm:f>
              </x14:cfvo>
              <x14:negativeFillColor rgb="FFFF0000"/>
              <x14:axisColor rgb="FF000000"/>
            </x14:dataBar>
          </x14:cfRule>
          <xm:sqref>D265:D266</xm:sqref>
        </x14:conditionalFormatting>
        <x14:conditionalFormatting xmlns:xm="http://schemas.microsoft.com/office/excel/2006/main">
          <x14:cfRule type="dataBar" id="{F9A65A19-F115-4B81-926B-6AF3187CD55A}">
            <x14:dataBar minLength="0" maxLength="100" gradient="0">
              <x14:cfvo type="num">
                <xm:f>0</xm:f>
              </x14:cfvo>
              <x14:cfvo type="num">
                <xm:f>1</xm:f>
              </x14:cfvo>
              <x14:negativeFillColor rgb="FFFF0000"/>
              <x14:axisColor rgb="FF000000"/>
            </x14:dataBar>
          </x14:cfRule>
          <xm:sqref>D267:D268</xm:sqref>
        </x14:conditionalFormatting>
        <x14:conditionalFormatting xmlns:xm="http://schemas.microsoft.com/office/excel/2006/main">
          <x14:cfRule type="dataBar" id="{01B3D0FD-750C-49C3-A7CB-7218C2C0F003}">
            <x14:dataBar minLength="0" maxLength="100" gradient="0">
              <x14:cfvo type="num">
                <xm:f>0</xm:f>
              </x14:cfvo>
              <x14:cfvo type="num">
                <xm:f>1</xm:f>
              </x14:cfvo>
              <x14:negativeFillColor rgb="FFFF0000"/>
              <x14:axisColor rgb="FF000000"/>
            </x14:dataBar>
          </x14:cfRule>
          <xm:sqref>D270:D271</xm:sqref>
        </x14:conditionalFormatting>
        <x14:conditionalFormatting xmlns:xm="http://schemas.microsoft.com/office/excel/2006/main">
          <x14:cfRule type="dataBar" id="{D5E217B6-7CC5-4B55-B17B-5D4EA9980F61}">
            <x14:dataBar minLength="0" maxLength="100" gradient="0">
              <x14:cfvo type="num">
                <xm:f>0</xm:f>
              </x14:cfvo>
              <x14:cfvo type="num">
                <xm:f>1</xm:f>
              </x14:cfvo>
              <x14:negativeFillColor rgb="FFFF0000"/>
              <x14:axisColor rgb="FF000000"/>
            </x14:dataBar>
          </x14:cfRule>
          <xm:sqref>D269</xm:sqref>
        </x14:conditionalFormatting>
        <x14:conditionalFormatting xmlns:xm="http://schemas.microsoft.com/office/excel/2006/main">
          <x14:cfRule type="dataBar" id="{FA390DFF-D1C8-4D8D-AEFF-38E5763FFC2F}">
            <x14:dataBar minLength="0" maxLength="100" gradient="0">
              <x14:cfvo type="num">
                <xm:f>0</xm:f>
              </x14:cfvo>
              <x14:cfvo type="num">
                <xm:f>1</xm:f>
              </x14:cfvo>
              <x14:negativeFillColor rgb="FFFF0000"/>
              <x14:axisColor rgb="FF000000"/>
            </x14:dataBar>
          </x14:cfRule>
          <xm:sqref>D272:D273</xm:sqref>
        </x14:conditionalFormatting>
        <x14:conditionalFormatting xmlns:xm="http://schemas.microsoft.com/office/excel/2006/main">
          <x14:cfRule type="dataBar" id="{50604248-C234-476D-87B8-27E22CFB8DEF}">
            <x14:dataBar minLength="0" maxLength="100" gradient="0">
              <x14:cfvo type="num">
                <xm:f>0</xm:f>
              </x14:cfvo>
              <x14:cfvo type="num">
                <xm:f>1</xm:f>
              </x14:cfvo>
              <x14:negativeFillColor rgb="FFFF0000"/>
              <x14:axisColor rgb="FF000000"/>
            </x14:dataBar>
          </x14:cfRule>
          <xm:sqref>D228</xm:sqref>
        </x14:conditionalFormatting>
        <x14:conditionalFormatting xmlns:xm="http://schemas.microsoft.com/office/excel/2006/main">
          <x14:cfRule type="dataBar" id="{3F3C0EA1-4273-4AAB-93EF-C3FD7F53BC77}">
            <x14:dataBar minLength="0" maxLength="100" gradient="0">
              <x14:cfvo type="num">
                <xm:f>0</xm:f>
              </x14:cfvo>
              <x14:cfvo type="num">
                <xm:f>1</xm:f>
              </x14:cfvo>
              <x14:negativeFillColor rgb="FFFF0000"/>
              <x14:axisColor rgb="FF000000"/>
            </x14:dataBar>
          </x14:cfRule>
          <xm:sqref>D227</xm:sqref>
        </x14:conditionalFormatting>
        <x14:conditionalFormatting xmlns:xm="http://schemas.microsoft.com/office/excel/2006/main">
          <x14:cfRule type="dataBar" id="{00D73E22-E9BF-454E-AA5D-B5135D4BFAAB}">
            <x14:dataBar minLength="0" maxLength="100" gradient="0">
              <x14:cfvo type="num">
                <xm:f>0</xm:f>
              </x14:cfvo>
              <x14:cfvo type="num">
                <xm:f>1</xm:f>
              </x14:cfvo>
              <x14:negativeFillColor rgb="FFFF0000"/>
              <x14:axisColor rgb="FF000000"/>
            </x14:dataBar>
          </x14:cfRule>
          <xm:sqref>D229</xm:sqref>
        </x14:conditionalFormatting>
        <x14:conditionalFormatting xmlns:xm="http://schemas.microsoft.com/office/excel/2006/main">
          <x14:cfRule type="dataBar" id="{2AB6FC1A-CB9A-4515-821A-23826BF7F9A5}">
            <x14:dataBar minLength="0" maxLength="100" gradient="0">
              <x14:cfvo type="num">
                <xm:f>0</xm:f>
              </x14:cfvo>
              <x14:cfvo type="num">
                <xm:f>1</xm:f>
              </x14:cfvo>
              <x14:negativeFillColor rgb="FFFF0000"/>
              <x14:axisColor rgb="FF000000"/>
            </x14:dataBar>
          </x14:cfRule>
          <xm:sqref>D45</xm:sqref>
        </x14:conditionalFormatting>
        <x14:conditionalFormatting xmlns:xm="http://schemas.microsoft.com/office/excel/2006/main">
          <x14:cfRule type="dataBar" id="{7ACF6717-608B-4A28-ABDC-C12A6C036D18}">
            <x14:dataBar minLength="0" maxLength="100" gradient="0">
              <x14:cfvo type="num">
                <xm:f>0</xm:f>
              </x14:cfvo>
              <x14:cfvo type="num">
                <xm:f>1</xm:f>
              </x14:cfvo>
              <x14:negativeFillColor rgb="FFFF0000"/>
              <x14:axisColor rgb="FF000000"/>
            </x14:dataBar>
          </x14:cfRule>
          <xm:sqref>D53</xm:sqref>
        </x14:conditionalFormatting>
        <x14:conditionalFormatting xmlns:xm="http://schemas.microsoft.com/office/excel/2006/main">
          <x14:cfRule type="dataBar" id="{93315C59-C926-4167-9F1D-58B44B4BD57A}">
            <x14:dataBar minLength="0" maxLength="100" gradient="0">
              <x14:cfvo type="num">
                <xm:f>0</xm:f>
              </x14:cfvo>
              <x14:cfvo type="num">
                <xm:f>1</xm:f>
              </x14:cfvo>
              <x14:negativeFillColor rgb="FFFF0000"/>
              <x14:axisColor rgb="FF000000"/>
            </x14:dataBar>
          </x14:cfRule>
          <xm:sqref>D52</xm:sqref>
        </x14:conditionalFormatting>
        <x14:conditionalFormatting xmlns:xm="http://schemas.microsoft.com/office/excel/2006/main">
          <x14:cfRule type="dataBar" id="{35A2F634-260E-4A0B-9431-7B8600F4D62A}">
            <x14:dataBar minLength="0" maxLength="100" gradient="0">
              <x14:cfvo type="num">
                <xm:f>0</xm:f>
              </x14:cfvo>
              <x14:cfvo type="num">
                <xm:f>1</xm:f>
              </x14:cfvo>
              <x14:negativeFillColor rgb="FFFF0000"/>
              <x14:axisColor rgb="FF000000"/>
            </x14:dataBar>
          </x14:cfRule>
          <xm:sqref>D22</xm:sqref>
        </x14:conditionalFormatting>
        <x14:conditionalFormatting xmlns:xm="http://schemas.microsoft.com/office/excel/2006/main">
          <x14:cfRule type="dataBar" id="{F7EFA2C5-C4B9-40DB-8C86-144EAA00E7E3}">
            <x14:dataBar minLength="0" maxLength="100" gradient="0">
              <x14:cfvo type="num">
                <xm:f>0</xm:f>
              </x14:cfvo>
              <x14:cfvo type="num">
                <xm:f>1</xm:f>
              </x14:cfvo>
              <x14:negativeFillColor rgb="FFFF0000"/>
              <x14:axisColor rgb="FF000000"/>
            </x14:dataBar>
          </x14:cfRule>
          <xm:sqref>D72</xm:sqref>
        </x14:conditionalFormatting>
        <x14:conditionalFormatting xmlns:xm="http://schemas.microsoft.com/office/excel/2006/main">
          <x14:cfRule type="dataBar" id="{8C3CF505-E917-4514-B48F-1397E3EAA48F}">
            <x14:dataBar minLength="0" maxLength="100" gradient="0">
              <x14:cfvo type="num">
                <xm:f>0</xm:f>
              </x14:cfvo>
              <x14:cfvo type="num">
                <xm:f>1</xm:f>
              </x14:cfvo>
              <x14:negativeFillColor rgb="FFFF0000"/>
              <x14:axisColor rgb="FF000000"/>
            </x14:dataBar>
          </x14:cfRule>
          <xm:sqref>D73</xm:sqref>
        </x14:conditionalFormatting>
        <x14:conditionalFormatting xmlns:xm="http://schemas.microsoft.com/office/excel/2006/main">
          <x14:cfRule type="dataBar" id="{7D8CDC48-6F58-46DC-9E85-A36EC8E4C137}">
            <x14:dataBar minLength="0" maxLength="100" gradient="0">
              <x14:cfvo type="num">
                <xm:f>0</xm:f>
              </x14:cfvo>
              <x14:cfvo type="num">
                <xm:f>1</xm:f>
              </x14:cfvo>
              <x14:negativeFillColor rgb="FFFF0000"/>
              <x14:axisColor rgb="FF000000"/>
            </x14:dataBar>
          </x14:cfRule>
          <xm:sqref>D74</xm:sqref>
        </x14:conditionalFormatting>
        <x14:conditionalFormatting xmlns:xm="http://schemas.microsoft.com/office/excel/2006/main">
          <x14:cfRule type="dataBar" id="{DCD74059-A27F-45A9-827E-C5DF6D242912}">
            <x14:dataBar minLength="0" maxLength="100" gradient="0">
              <x14:cfvo type="num">
                <xm:f>0</xm:f>
              </x14:cfvo>
              <x14:cfvo type="num">
                <xm:f>1</xm:f>
              </x14:cfvo>
              <x14:negativeFillColor rgb="FFFF0000"/>
              <x14:axisColor rgb="FF000000"/>
            </x14:dataBar>
          </x14:cfRule>
          <xm:sqref>D96</xm:sqref>
        </x14:conditionalFormatting>
        <x14:conditionalFormatting xmlns:xm="http://schemas.microsoft.com/office/excel/2006/main">
          <x14:cfRule type="dataBar" id="{D8757667-92EA-44E2-AAE3-FC74A4866DF2}">
            <x14:dataBar minLength="0" maxLength="100" gradient="0">
              <x14:cfvo type="num">
                <xm:f>0</xm:f>
              </x14:cfvo>
              <x14:cfvo type="num">
                <xm:f>1</xm:f>
              </x14:cfvo>
              <x14:negativeFillColor rgb="FFFF0000"/>
              <x14:axisColor rgb="FF000000"/>
            </x14:dataBar>
          </x14:cfRule>
          <xm:sqref>D117</xm:sqref>
        </x14:conditionalFormatting>
        <x14:conditionalFormatting xmlns:xm="http://schemas.microsoft.com/office/excel/2006/main">
          <x14:cfRule type="dataBar" id="{06081CCF-F392-4F98-B0AA-52DA2DD4028D}">
            <x14:dataBar minLength="0" maxLength="100" gradient="0">
              <x14:cfvo type="num">
                <xm:f>0</xm:f>
              </x14:cfvo>
              <x14:cfvo type="num">
                <xm:f>1</xm:f>
              </x14:cfvo>
              <x14:negativeFillColor rgb="FFFF0000"/>
              <x14:axisColor rgb="FF000000"/>
            </x14:dataBar>
          </x14:cfRule>
          <xm:sqref>D119</xm:sqref>
        </x14:conditionalFormatting>
        <x14:conditionalFormatting xmlns:xm="http://schemas.microsoft.com/office/excel/2006/main">
          <x14:cfRule type="dataBar" id="{FBAB3BEF-32E9-4F9C-AA30-9E32ED657261}">
            <x14:dataBar minLength="0" maxLength="100" gradient="0">
              <x14:cfvo type="num">
                <xm:f>0</xm:f>
              </x14:cfvo>
              <x14:cfvo type="num">
                <xm:f>1</xm:f>
              </x14:cfvo>
              <x14:negativeFillColor rgb="FFFF0000"/>
              <x14:axisColor rgb="FF000000"/>
            </x14:dataBar>
          </x14:cfRule>
          <xm:sqref>D118</xm:sqref>
        </x14:conditionalFormatting>
        <x14:conditionalFormatting xmlns:xm="http://schemas.microsoft.com/office/excel/2006/main">
          <x14:cfRule type="dataBar" id="{826DF911-D38E-4A8B-8587-1735E40424AA}">
            <x14:dataBar minLength="0" maxLength="100" gradient="0">
              <x14:cfvo type="num">
                <xm:f>0</xm:f>
              </x14:cfvo>
              <x14:cfvo type="num">
                <xm:f>1</xm:f>
              </x14:cfvo>
              <x14:negativeFillColor rgb="FFFF0000"/>
              <x14:axisColor rgb="FF000000"/>
            </x14:dataBar>
          </x14:cfRule>
          <xm:sqref>D120</xm:sqref>
        </x14:conditionalFormatting>
        <x14:conditionalFormatting xmlns:xm="http://schemas.microsoft.com/office/excel/2006/main">
          <x14:cfRule type="dataBar" id="{0DC48876-507E-432C-910B-3E5AA171BFE6}">
            <x14:dataBar minLength="0" maxLength="100" gradient="0">
              <x14:cfvo type="num">
                <xm:f>0</xm:f>
              </x14:cfvo>
              <x14:cfvo type="num">
                <xm:f>1</xm:f>
              </x14:cfvo>
              <x14:negativeFillColor rgb="FFFF0000"/>
              <x14:axisColor rgb="FF000000"/>
            </x14:dataBar>
          </x14:cfRule>
          <xm:sqref>D121</xm:sqref>
        </x14:conditionalFormatting>
        <x14:conditionalFormatting xmlns:xm="http://schemas.microsoft.com/office/excel/2006/main">
          <x14:cfRule type="dataBar" id="{1F12AC12-4784-41CA-9A9F-A7536A545CD0}">
            <x14:dataBar minLength="0" maxLength="100" gradient="0">
              <x14:cfvo type="num">
                <xm:f>0</xm:f>
              </x14:cfvo>
              <x14:cfvo type="num">
                <xm:f>1</xm:f>
              </x14:cfvo>
              <x14:negativeFillColor rgb="FFFF0000"/>
              <x14:axisColor rgb="FF000000"/>
            </x14:dataBar>
          </x14:cfRule>
          <xm:sqref>D123</xm:sqref>
        </x14:conditionalFormatting>
        <x14:conditionalFormatting xmlns:xm="http://schemas.microsoft.com/office/excel/2006/main">
          <x14:cfRule type="dataBar" id="{E61D7B35-A0F5-4D52-9D4B-845BB2CF156F}">
            <x14:dataBar minLength="0" maxLength="100" gradient="0">
              <x14:cfvo type="num">
                <xm:f>0</xm:f>
              </x14:cfvo>
              <x14:cfvo type="num">
                <xm:f>1</xm:f>
              </x14:cfvo>
              <x14:negativeFillColor rgb="FFFF0000"/>
              <x14:axisColor rgb="FF000000"/>
            </x14:dataBar>
          </x14:cfRule>
          <xm:sqref>D122</xm:sqref>
        </x14:conditionalFormatting>
        <x14:conditionalFormatting xmlns:xm="http://schemas.microsoft.com/office/excel/2006/main">
          <x14:cfRule type="dataBar" id="{597834FB-23E1-4B49-8EF6-D893E8286E2C}">
            <x14:dataBar minLength="0" maxLength="100" gradient="0">
              <x14:cfvo type="num">
                <xm:f>0</xm:f>
              </x14:cfvo>
              <x14:cfvo type="num">
                <xm:f>1</xm:f>
              </x14:cfvo>
              <x14:negativeFillColor rgb="FFFF0000"/>
              <x14:axisColor rgb="FF000000"/>
            </x14:dataBar>
          </x14:cfRule>
          <xm:sqref>D125</xm:sqref>
        </x14:conditionalFormatting>
        <x14:conditionalFormatting xmlns:xm="http://schemas.microsoft.com/office/excel/2006/main">
          <x14:cfRule type="dataBar" id="{32245E97-2B55-4B27-8DA5-C00DDDA8897F}">
            <x14:dataBar minLength="0" maxLength="100" gradient="0">
              <x14:cfvo type="num">
                <xm:f>0</xm:f>
              </x14:cfvo>
              <x14:cfvo type="num">
                <xm:f>1</xm:f>
              </x14:cfvo>
              <x14:negativeFillColor rgb="FFFF0000"/>
              <x14:axisColor rgb="FF000000"/>
            </x14:dataBar>
          </x14:cfRule>
          <xm:sqref>D124</xm:sqref>
        </x14:conditionalFormatting>
        <x14:conditionalFormatting xmlns:xm="http://schemas.microsoft.com/office/excel/2006/main">
          <x14:cfRule type="dataBar" id="{380234B2-6291-4985-BBAD-538F99BC847B}">
            <x14:dataBar minLength="0" maxLength="100" gradient="0">
              <x14:cfvo type="num">
                <xm:f>0</xm:f>
              </x14:cfvo>
              <x14:cfvo type="num">
                <xm:f>1</xm:f>
              </x14:cfvo>
              <x14:negativeFillColor rgb="FFFF0000"/>
              <x14:axisColor rgb="FF000000"/>
            </x14:dataBar>
          </x14:cfRule>
          <xm:sqref>D129</xm:sqref>
        </x14:conditionalFormatting>
        <x14:conditionalFormatting xmlns:xm="http://schemas.microsoft.com/office/excel/2006/main">
          <x14:cfRule type="dataBar" id="{DC3D7D5A-3D5F-4271-B7CA-D7A2E1586010}">
            <x14:dataBar minLength="0" maxLength="100" gradient="0">
              <x14:cfvo type="num">
                <xm:f>0</xm:f>
              </x14:cfvo>
              <x14:cfvo type="num">
                <xm:f>1</xm:f>
              </x14:cfvo>
              <x14:negativeFillColor rgb="FFFF0000"/>
              <x14:axisColor rgb="FF000000"/>
            </x14:dataBar>
          </x14:cfRule>
          <xm:sqref>D130</xm:sqref>
        </x14:conditionalFormatting>
        <x14:conditionalFormatting xmlns:xm="http://schemas.microsoft.com/office/excel/2006/main">
          <x14:cfRule type="dataBar" id="{DE3FD6C2-240B-4B9C-AEE0-BA4400BC3A0D}">
            <x14:dataBar minLength="0" maxLength="100" gradient="0">
              <x14:cfvo type="num">
                <xm:f>0</xm:f>
              </x14:cfvo>
              <x14:cfvo type="num">
                <xm:f>1</xm:f>
              </x14:cfvo>
              <x14:negativeFillColor rgb="FFFF0000"/>
              <x14:axisColor rgb="FF000000"/>
            </x14:dataBar>
          </x14:cfRule>
          <xm:sqref>D131</xm:sqref>
        </x14:conditionalFormatting>
        <x14:conditionalFormatting xmlns:xm="http://schemas.microsoft.com/office/excel/2006/main">
          <x14:cfRule type="dataBar" id="{5453652F-7EF2-4E36-AABD-C23E8FC91451}">
            <x14:dataBar minLength="0" maxLength="100" gradient="0">
              <x14:cfvo type="num">
                <xm:f>0</xm:f>
              </x14:cfvo>
              <x14:cfvo type="num">
                <xm:f>1</xm:f>
              </x14:cfvo>
              <x14:negativeFillColor rgb="FFFF0000"/>
              <x14:axisColor rgb="FF000000"/>
            </x14:dataBar>
          </x14:cfRule>
          <xm:sqref>D132</xm:sqref>
        </x14:conditionalFormatting>
        <x14:conditionalFormatting xmlns:xm="http://schemas.microsoft.com/office/excel/2006/main">
          <x14:cfRule type="dataBar" id="{8885534A-498E-4CC1-A9E1-EEE1F71F1BE1}">
            <x14:dataBar minLength="0" maxLength="100" gradient="0">
              <x14:cfvo type="num">
                <xm:f>0</xm:f>
              </x14:cfvo>
              <x14:cfvo type="num">
                <xm:f>1</xm:f>
              </x14:cfvo>
              <x14:negativeFillColor rgb="FFFF0000"/>
              <x14:axisColor rgb="FF000000"/>
            </x14:dataBar>
          </x14:cfRule>
          <xm:sqref>D133</xm:sqref>
        </x14:conditionalFormatting>
        <x14:conditionalFormatting xmlns:xm="http://schemas.microsoft.com/office/excel/2006/main">
          <x14:cfRule type="dataBar" id="{0CAB910E-C89D-4A75-9221-EC2A46D717CE}">
            <x14:dataBar minLength="0" maxLength="100" gradient="0">
              <x14:cfvo type="num">
                <xm:f>0</xm:f>
              </x14:cfvo>
              <x14:cfvo type="num">
                <xm:f>1</xm:f>
              </x14:cfvo>
              <x14:negativeFillColor rgb="FFFF0000"/>
              <x14:axisColor rgb="FF000000"/>
            </x14:dataBar>
          </x14:cfRule>
          <xm:sqref>D134</xm:sqref>
        </x14:conditionalFormatting>
        <x14:conditionalFormatting xmlns:xm="http://schemas.microsoft.com/office/excel/2006/main">
          <x14:cfRule type="dataBar" id="{4D1CF7B9-19D3-4E86-BF0F-81604837619D}">
            <x14:dataBar minLength="0" maxLength="100" gradient="0">
              <x14:cfvo type="num">
                <xm:f>0</xm:f>
              </x14:cfvo>
              <x14:cfvo type="num">
                <xm:f>1</xm:f>
              </x14:cfvo>
              <x14:negativeFillColor rgb="FFFF0000"/>
              <x14:axisColor rgb="FF000000"/>
            </x14:dataBar>
          </x14:cfRule>
          <xm:sqref>D135</xm:sqref>
        </x14:conditionalFormatting>
        <x14:conditionalFormatting xmlns:xm="http://schemas.microsoft.com/office/excel/2006/main">
          <x14:cfRule type="dataBar" id="{CCFC35C4-AA61-48EF-BDC7-D3B444284385}">
            <x14:dataBar minLength="0" maxLength="100" gradient="0">
              <x14:cfvo type="num">
                <xm:f>0</xm:f>
              </x14:cfvo>
              <x14:cfvo type="num">
                <xm:f>1</xm:f>
              </x14:cfvo>
              <x14:negativeFillColor rgb="FFFF0000"/>
              <x14:axisColor rgb="FF000000"/>
            </x14:dataBar>
          </x14:cfRule>
          <xm:sqref>D126</xm:sqref>
        </x14:conditionalFormatting>
        <x14:conditionalFormatting xmlns:xm="http://schemas.microsoft.com/office/excel/2006/main">
          <x14:cfRule type="dataBar" id="{1639ED5F-C9EC-4572-8ECC-9DBA2F5EAE05}">
            <x14:dataBar minLength="0" maxLength="100" gradient="0">
              <x14:cfvo type="num">
                <xm:f>0</xm:f>
              </x14:cfvo>
              <x14:cfvo type="num">
                <xm:f>1</xm:f>
              </x14:cfvo>
              <x14:negativeFillColor rgb="FFFF0000"/>
              <x14:axisColor rgb="FF000000"/>
            </x14:dataBar>
          </x14:cfRule>
          <xm:sqref>D127</xm:sqref>
        </x14:conditionalFormatting>
        <x14:conditionalFormatting xmlns:xm="http://schemas.microsoft.com/office/excel/2006/main">
          <x14:cfRule type="dataBar" id="{79339534-E46A-40E2-915D-38FD7E3DD7C9}">
            <x14:dataBar minLength="0" maxLength="100" gradient="0">
              <x14:cfvo type="num">
                <xm:f>0</xm:f>
              </x14:cfvo>
              <x14:cfvo type="num">
                <xm:f>1</xm:f>
              </x14:cfvo>
              <x14:negativeFillColor rgb="FFFF0000"/>
              <x14:axisColor rgb="FF000000"/>
            </x14:dataBar>
          </x14:cfRule>
          <xm:sqref>D128</xm:sqref>
        </x14:conditionalFormatting>
        <x14:conditionalFormatting xmlns:xm="http://schemas.microsoft.com/office/excel/2006/main">
          <x14:cfRule type="dataBar" id="{AFBA83EF-F43B-49E3-8081-9B5AE330932A}">
            <x14:dataBar minLength="0" maxLength="100" gradient="0">
              <x14:cfvo type="num">
                <xm:f>0</xm:f>
              </x14:cfvo>
              <x14:cfvo type="num">
                <xm:f>1</xm:f>
              </x14:cfvo>
              <x14:negativeFillColor rgb="FFFF0000"/>
              <x14:axisColor rgb="FF000000"/>
            </x14:dataBar>
          </x14:cfRule>
          <xm:sqref>D136</xm:sqref>
        </x14:conditionalFormatting>
        <x14:conditionalFormatting xmlns:xm="http://schemas.microsoft.com/office/excel/2006/main">
          <x14:cfRule type="dataBar" id="{87BC5F7B-7F8B-407C-B482-2D33028E5718}">
            <x14:dataBar minLength="0" maxLength="100" gradient="0">
              <x14:cfvo type="num">
                <xm:f>0</xm:f>
              </x14:cfvo>
              <x14:cfvo type="num">
                <xm:f>1</xm:f>
              </x14:cfvo>
              <x14:negativeFillColor rgb="FFFF0000"/>
              <x14:axisColor rgb="FF000000"/>
            </x14:dataBar>
          </x14:cfRule>
          <xm:sqref>D137</xm:sqref>
        </x14:conditionalFormatting>
        <x14:conditionalFormatting xmlns:xm="http://schemas.microsoft.com/office/excel/2006/main">
          <x14:cfRule type="dataBar" id="{BA27F715-2732-4965-930D-411D215E8C1E}">
            <x14:dataBar minLength="0" maxLength="100" gradient="0">
              <x14:cfvo type="num">
                <xm:f>0</xm:f>
              </x14:cfvo>
              <x14:cfvo type="num">
                <xm:f>1</xm:f>
              </x14:cfvo>
              <x14:negativeFillColor rgb="FFFF0000"/>
              <x14:axisColor rgb="FF000000"/>
            </x14:dataBar>
          </x14:cfRule>
          <xm:sqref>D138</xm:sqref>
        </x14:conditionalFormatting>
        <x14:conditionalFormatting xmlns:xm="http://schemas.microsoft.com/office/excel/2006/main">
          <x14:cfRule type="dataBar" id="{1C498544-6D9A-4F83-A560-18C49B82E543}">
            <x14:dataBar minLength="0" maxLength="100" gradient="0">
              <x14:cfvo type="num">
                <xm:f>0</xm:f>
              </x14:cfvo>
              <x14:cfvo type="num">
                <xm:f>1</xm:f>
              </x14:cfvo>
              <x14:negativeFillColor rgb="FFFF0000"/>
              <x14:axisColor rgb="FF000000"/>
            </x14:dataBar>
          </x14:cfRule>
          <xm:sqref>D274:D275</xm:sqref>
        </x14:conditionalFormatting>
        <x14:conditionalFormatting xmlns:xm="http://schemas.microsoft.com/office/excel/2006/main">
          <x14:cfRule type="dataBar" id="{267BAF59-EF07-46F4-B7EB-20733CA1CB6A}">
            <x14:dataBar minLength="0" maxLength="100" gradient="0">
              <x14:cfvo type="num">
                <xm:f>0</xm:f>
              </x14:cfvo>
              <x14:cfvo type="num">
                <xm:f>1</xm:f>
              </x14:cfvo>
              <x14:negativeFillColor rgb="FFFF0000"/>
              <x14:axisColor rgb="FF000000"/>
            </x14:dataBar>
          </x14:cfRule>
          <xm:sqref>D276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 defaultRowHeight="14.4" x14ac:dyDescent="0.3"/>
  <cols>
    <col min="1" max="1" width="87" style="35" customWidth="1"/>
    <col min="2" max="16384" width="9" style="36"/>
  </cols>
  <sheetData>
    <row r="1" spans="1:2" ht="46.5" customHeight="1" x14ac:dyDescent="0.3"/>
    <row r="2" spans="1:2" s="38" customFormat="1" ht="16.2" x14ac:dyDescent="0.3">
      <c r="A2" s="37" t="s">
        <v>21</v>
      </c>
      <c r="B2" s="37"/>
    </row>
    <row r="3" spans="1:2" s="41" customFormat="1" ht="27" customHeight="1" x14ac:dyDescent="0.3">
      <c r="A3" s="39" t="s">
        <v>22</v>
      </c>
      <c r="B3" s="40"/>
    </row>
    <row r="4" spans="1:2" s="43" customFormat="1" ht="27" x14ac:dyDescent="0.5">
      <c r="A4" s="42" t="s">
        <v>23</v>
      </c>
    </row>
    <row r="5" spans="1:2" ht="61.5" customHeight="1" x14ac:dyDescent="0.3">
      <c r="A5" s="44" t="s">
        <v>24</v>
      </c>
    </row>
    <row r="6" spans="1:2" ht="26.25" customHeight="1" x14ac:dyDescent="0.3">
      <c r="A6" s="42" t="s">
        <v>25</v>
      </c>
    </row>
    <row r="7" spans="1:2" s="35" customFormat="1" ht="198" customHeight="1" x14ac:dyDescent="0.3">
      <c r="A7" s="45" t="s">
        <v>36</v>
      </c>
    </row>
    <row r="8" spans="1:2" s="43" customFormat="1" ht="27" x14ac:dyDescent="0.5">
      <c r="A8" s="42" t="s">
        <v>26</v>
      </c>
    </row>
    <row r="9" spans="1:2" ht="45" x14ac:dyDescent="0.3">
      <c r="A9" s="44" t="s">
        <v>27</v>
      </c>
    </row>
    <row r="10" spans="1:2" s="35" customFormat="1" ht="27.9" customHeight="1" x14ac:dyDescent="0.3">
      <c r="A10" s="46" t="s">
        <v>28</v>
      </c>
    </row>
    <row r="11" spans="1:2" s="43" customFormat="1" ht="27" x14ac:dyDescent="0.5">
      <c r="A11" s="42" t="s">
        <v>29</v>
      </c>
    </row>
    <row r="12" spans="1:2" ht="30" x14ac:dyDescent="0.3">
      <c r="A12" s="44" t="s">
        <v>30</v>
      </c>
    </row>
    <row r="13" spans="1:2" s="35" customFormat="1" ht="27.9" customHeight="1" x14ac:dyDescent="0.3">
      <c r="A13" s="46" t="s">
        <v>31</v>
      </c>
    </row>
    <row r="14" spans="1:2" s="43" customFormat="1" ht="27" x14ac:dyDescent="0.5">
      <c r="A14" s="42" t="s">
        <v>32</v>
      </c>
    </row>
    <row r="15" spans="1:2" ht="64.5" customHeight="1" x14ac:dyDescent="0.3">
      <c r="A15" s="44" t="s">
        <v>33</v>
      </c>
    </row>
    <row r="16" spans="1:2" ht="45" x14ac:dyDescent="0.3">
      <c r="A16" s="44" t="s">
        <v>34</v>
      </c>
    </row>
  </sheetData>
  <phoneticPr fontId="28"/>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rowBreaks count="1" manualBreakCount="1">
    <brk id="15" max="16383" man="1"/>
  </rowBreaks>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E8ED85-58B3-4608-8E91-0433556D50CE}">
  <ds:schemaRefs>
    <ds:schemaRef ds:uri="http://schemas.microsoft.com/sharepoint/v3/contenttype/forms"/>
  </ds:schemaRefs>
</ds:datastoreItem>
</file>

<file path=customXml/itemProps3.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6</vt:i4>
      </vt:variant>
    </vt:vector>
  </HeadingPairs>
  <TitlesOfParts>
    <vt:vector size="8" baseType="lpstr">
      <vt:lpstr>プロジェクトのスケジュール</vt:lpstr>
      <vt:lpstr>詳細情報</vt:lpstr>
      <vt:lpstr>プロジェクトのスケジュール!Print_Titles</vt:lpstr>
      <vt:lpstr>プロジェクトのスケジュール!タスク_開始</vt:lpstr>
      <vt:lpstr>プロジェクトのスケジュール!タスク_終了</vt:lpstr>
      <vt:lpstr>プロジェクトのスケジュール!タスク_進捗状況</vt:lpstr>
      <vt:lpstr>プロジェクトの開始</vt:lpstr>
      <vt:lpstr>週表示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2026-10-20T07:45:17Z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