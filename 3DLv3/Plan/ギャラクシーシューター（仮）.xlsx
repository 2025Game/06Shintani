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codeName="ThisWorkbook"/>
  <xr:revisionPtr revIDLastSave="11" documentId="13_ncr:1_{29EE4739-519B-4E93-A7DE-97C18007F75C}" xr6:coauthVersionLast="47" xr6:coauthVersionMax="47" xr10:uidLastSave="{38B4197B-1760-42DE-80F3-7BBF72CA9740}"/>
  <bookViews>
    <workbookView xWindow="-108" yWindow="-108" windowWidth="23256" windowHeight="13176" xr2:uid="{00000000-000D-0000-FFFF-FFFF00000000}"/>
  </bookViews>
  <sheets>
    <sheet name="プロジェクトのスケジュール" sheetId="11" r:id="rId1"/>
    <sheet name="詳細情報" sheetId="12" r:id="rId2"/>
  </sheets>
  <definedNames>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76" i="11" l="1"/>
  <c r="E276" i="11"/>
  <c r="F275" i="11"/>
  <c r="H276" i="11"/>
  <c r="H274" i="11"/>
  <c r="H253" i="11"/>
  <c r="H256" i="11"/>
  <c r="H259" i="11"/>
  <c r="H262" i="11"/>
  <c r="H263" i="11"/>
  <c r="H265" i="11"/>
  <c r="H267" i="11"/>
  <c r="H270" i="11"/>
  <c r="H272" i="11"/>
  <c r="H245" i="11"/>
  <c r="H248" i="11"/>
  <c r="H249" i="11"/>
  <c r="H251" i="11"/>
  <c r="H252" i="11"/>
  <c r="H7" i="11" l="1"/>
  <c r="H212" i="11" l="1"/>
  <c r="H218" i="11"/>
  <c r="H215" i="11"/>
  <c r="H98" i="11"/>
  <c r="H75" i="11"/>
  <c r="H203" i="11"/>
  <c r="H200" i="11"/>
  <c r="H118" i="11"/>
  <c r="H195" i="11"/>
  <c r="H102" i="11"/>
  <c r="H97" i="11"/>
  <c r="H204" i="11"/>
  <c r="H104" i="11"/>
  <c r="H211" i="11"/>
  <c r="H111" i="11"/>
  <c r="H113" i="11"/>
  <c r="H117" i="11"/>
  <c r="H196" i="11"/>
  <c r="H192" i="11"/>
  <c r="H107" i="11"/>
  <c r="H106" i="11"/>
  <c r="H122" i="11"/>
  <c r="H63" i="11"/>
  <c r="H76" i="11"/>
  <c r="H72" i="11"/>
  <c r="H208" i="11" l="1"/>
  <c r="H242" i="11"/>
  <c r="H230" i="11"/>
  <c r="H91" i="11"/>
  <c r="H80" i="11"/>
  <c r="H19" i="11"/>
  <c r="H17" i="11"/>
  <c r="H8" i="11"/>
  <c r="H187" i="11" l="1"/>
  <c r="H224" i="11"/>
  <c r="H186" i="11"/>
  <c r="H221" i="11"/>
  <c r="H183" i="11"/>
  <c r="H124" i="11"/>
  <c r="H227" i="11"/>
  <c r="H68" i="11"/>
  <c r="H27" i="11"/>
  <c r="H70" i="11" l="1"/>
  <c r="H174" i="11" l="1"/>
  <c r="H136" i="11"/>
  <c r="H179" i="11" l="1"/>
  <c r="H177" i="11"/>
  <c r="H173" i="11"/>
  <c r="H139" i="11"/>
  <c r="H155" i="11"/>
  <c r="H93" i="11"/>
  <c r="H82" i="11"/>
  <c r="H167" i="11" l="1"/>
  <c r="H140" i="11"/>
  <c r="H86" i="11"/>
  <c r="H161" i="11" l="1"/>
  <c r="H149" i="11"/>
  <c r="H148" i="11"/>
  <c r="H144" i="11"/>
  <c r="H87" i="11" l="1"/>
  <c r="H239" i="11" l="1"/>
  <c r="H236" i="11"/>
  <c r="H233" i="11"/>
  <c r="E15" i="11"/>
  <c r="I5" i="11"/>
  <c r="E11" i="11"/>
  <c r="F11" i="11" s="1"/>
  <c r="F15" i="11" l="1"/>
  <c r="E16" i="11" s="1"/>
  <c r="I6" i="11"/>
  <c r="I4" i="11"/>
  <c r="H11" i="11"/>
  <c r="E12" i="11"/>
  <c r="J5" i="11"/>
  <c r="H15" i="11" l="1"/>
  <c r="F16" i="11"/>
  <c r="E18" i="11" s="1"/>
  <c r="F12" i="11"/>
  <c r="E13" i="11" s="1"/>
  <c r="K5" i="11"/>
  <c r="J6" i="11"/>
  <c r="H16" i="11" l="1"/>
  <c r="H12" i="11"/>
  <c r="F13" i="11"/>
  <c r="H13" i="11" s="1"/>
  <c r="F18" i="11"/>
  <c r="H37" i="11"/>
  <c r="K6" i="11"/>
  <c r="L5" i="11"/>
  <c r="H18" i="11" l="1"/>
  <c r="E20" i="11"/>
  <c r="H34" i="11"/>
  <c r="L6" i="11"/>
  <c r="M5" i="11"/>
  <c r="H39" i="11"/>
  <c r="F20" i="11" l="1"/>
  <c r="N5" i="11"/>
  <c r="M6" i="11"/>
  <c r="E21" i="11" l="1"/>
  <c r="F21" i="11" s="1"/>
  <c r="E23" i="11" s="1"/>
  <c r="E22" i="11"/>
  <c r="F22" i="11" s="1"/>
  <c r="H20" i="11"/>
  <c r="N6" i="11"/>
  <c r="O5" i="11"/>
  <c r="H21" i="11" l="1"/>
  <c r="E24" i="11"/>
  <c r="F23" i="11"/>
  <c r="H22" i="11" s="1"/>
  <c r="O6" i="11"/>
  <c r="P5" i="11"/>
  <c r="F24" i="11" l="1"/>
  <c r="E26" i="11" s="1"/>
  <c r="Q5" i="11"/>
  <c r="P4" i="11"/>
  <c r="P6" i="11"/>
  <c r="H24" i="11" l="1"/>
  <c r="F26" i="11"/>
  <c r="H26" i="11" s="1"/>
  <c r="H23" i="11"/>
  <c r="Q6" i="11"/>
  <c r="R5" i="11"/>
  <c r="E29" i="11" l="1"/>
  <c r="F29" i="11" s="1"/>
  <c r="E30" i="11" s="1"/>
  <c r="H25" i="11"/>
  <c r="S5" i="11"/>
  <c r="R6" i="11"/>
  <c r="H28" i="11" l="1"/>
  <c r="F30" i="11"/>
  <c r="H29" i="11" s="1"/>
  <c r="E31" i="11"/>
  <c r="T5" i="11"/>
  <c r="S6" i="11"/>
  <c r="F31" i="11" l="1"/>
  <c r="E32" i="11" s="1"/>
  <c r="T6" i="11"/>
  <c r="U5" i="11"/>
  <c r="H30" i="11" l="1"/>
  <c r="E33" i="11"/>
  <c r="F32" i="11"/>
  <c r="H31" i="11" s="1"/>
  <c r="U6" i="11"/>
  <c r="V5" i="11"/>
  <c r="F33" i="11" l="1"/>
  <c r="E50" i="11" s="1"/>
  <c r="F50" i="11" s="1"/>
  <c r="E52" i="11" s="1"/>
  <c r="F52" i="11" s="1"/>
  <c r="H48" i="11"/>
  <c r="H32" i="11"/>
  <c r="W5" i="11"/>
  <c r="W4" i="11" s="1"/>
  <c r="V6" i="11"/>
  <c r="E36" i="11" l="1"/>
  <c r="F36" i="11" s="1"/>
  <c r="H33" i="11"/>
  <c r="E51" i="11"/>
  <c r="W6" i="11"/>
  <c r="X5" i="11"/>
  <c r="H36" i="11" l="1"/>
  <c r="F51" i="11"/>
  <c r="H49" i="11"/>
  <c r="H35" i="11"/>
  <c r="Y5" i="11"/>
  <c r="X6" i="11"/>
  <c r="H50" i="11" l="1"/>
  <c r="E53" i="11"/>
  <c r="F53" i="11" s="1"/>
  <c r="E54" i="11" s="1"/>
  <c r="F54" i="11" s="1"/>
  <c r="E56" i="11" s="1"/>
  <c r="F56" i="11" s="1"/>
  <c r="H51" i="11"/>
  <c r="H52" i="11"/>
  <c r="H41" i="11"/>
  <c r="Z5" i="11"/>
  <c r="Y6" i="11"/>
  <c r="H55" i="11" l="1"/>
  <c r="H53" i="11"/>
  <c r="E57" i="11"/>
  <c r="H54" i="11"/>
  <c r="H43" i="11"/>
  <c r="Z6" i="11"/>
  <c r="AA5" i="11"/>
  <c r="F57" i="11" l="1"/>
  <c r="E59" i="11" s="1"/>
  <c r="H56" i="11"/>
  <c r="H64" i="11"/>
  <c r="AA6" i="11"/>
  <c r="AB5" i="11"/>
  <c r="F59" i="11" l="1"/>
  <c r="E62" i="11" s="1"/>
  <c r="H58" i="11"/>
  <c r="AB6" i="11"/>
  <c r="AC5" i="11"/>
  <c r="F62" i="11" l="1"/>
  <c r="E65" i="11" s="1"/>
  <c r="E60" i="11"/>
  <c r="E61" i="11"/>
  <c r="AC6" i="11"/>
  <c r="AD5" i="11"/>
  <c r="F65" i="11" l="1"/>
  <c r="H62" i="11"/>
  <c r="F61" i="11"/>
  <c r="F60" i="11"/>
  <c r="H59" i="11"/>
  <c r="AD4" i="11"/>
  <c r="AE5" i="11"/>
  <c r="AD6" i="11"/>
  <c r="E66" i="11" l="1"/>
  <c r="E67" i="11"/>
  <c r="H65" i="11"/>
  <c r="H57" i="11"/>
  <c r="H61" i="11"/>
  <c r="H60" i="11"/>
  <c r="AF5" i="11"/>
  <c r="AE6" i="11"/>
  <c r="F66" i="11" l="1"/>
  <c r="H66" i="11" s="1"/>
  <c r="F67" i="11"/>
  <c r="E69" i="11" s="1"/>
  <c r="AG5" i="11"/>
  <c r="AF6" i="11"/>
  <c r="H67" i="11" l="1"/>
  <c r="F69" i="11"/>
  <c r="E71" i="11" s="1"/>
  <c r="E73" i="11" s="1"/>
  <c r="E74" i="11" s="1"/>
  <c r="AG6" i="11"/>
  <c r="AH5" i="11"/>
  <c r="H69" i="11" l="1"/>
  <c r="F74" i="11"/>
  <c r="E77" i="11" s="1"/>
  <c r="F71" i="11"/>
  <c r="AI5" i="11"/>
  <c r="AH6" i="11"/>
  <c r="H74" i="11" l="1"/>
  <c r="F77" i="11"/>
  <c r="E78" i="11" s="1"/>
  <c r="H71" i="11"/>
  <c r="AJ5" i="11"/>
  <c r="AI6" i="11"/>
  <c r="H77" i="11" l="1"/>
  <c r="F78" i="11"/>
  <c r="E79" i="11" s="1"/>
  <c r="F73" i="11"/>
  <c r="H73" i="11" s="1"/>
  <c r="AJ6" i="11"/>
  <c r="AK5" i="11"/>
  <c r="H78" i="11" l="1"/>
  <c r="F79" i="11"/>
  <c r="E81" i="11" s="1"/>
  <c r="AK6" i="11"/>
  <c r="AL5" i="11"/>
  <c r="AK4" i="11"/>
  <c r="H79" i="11" l="1"/>
  <c r="F81" i="11"/>
  <c r="E83" i="11" s="1"/>
  <c r="AL6" i="11"/>
  <c r="AM5" i="11"/>
  <c r="H81" i="11" l="1"/>
  <c r="F83" i="11"/>
  <c r="E84" i="11" s="1"/>
  <c r="AM6" i="11"/>
  <c r="AN5" i="11"/>
  <c r="H83" i="11" l="1"/>
  <c r="F84" i="11"/>
  <c r="E85" i="11" s="1"/>
  <c r="AN6" i="11"/>
  <c r="AO5" i="11"/>
  <c r="H84" i="11" l="1"/>
  <c r="F85" i="11"/>
  <c r="E88" i="11" s="1"/>
  <c r="H85" i="11"/>
  <c r="AP5" i="11"/>
  <c r="AO6" i="11"/>
  <c r="F88" i="11" l="1"/>
  <c r="E89" i="11" s="1"/>
  <c r="AP6" i="11"/>
  <c r="AQ5" i="11"/>
  <c r="H88" i="11" l="1"/>
  <c r="F89" i="11"/>
  <c r="E90" i="11" s="1"/>
  <c r="AR5" i="11"/>
  <c r="AQ6" i="11"/>
  <c r="H89" i="11" l="1"/>
  <c r="F90" i="11"/>
  <c r="E92" i="11" s="1"/>
  <c r="AS5" i="11"/>
  <c r="AR4" i="11"/>
  <c r="AR6" i="11"/>
  <c r="H90" i="11" l="1"/>
  <c r="F92" i="11"/>
  <c r="E94" i="11" s="1"/>
  <c r="AS6" i="11"/>
  <c r="AT5" i="11"/>
  <c r="H92" i="11" l="1"/>
  <c r="F94" i="11"/>
  <c r="E95" i="11" s="1"/>
  <c r="AU5" i="11"/>
  <c r="AT6" i="11"/>
  <c r="H94" i="11" l="1"/>
  <c r="F95" i="11"/>
  <c r="E38" i="11" s="1"/>
  <c r="AV5" i="11"/>
  <c r="AU6" i="11"/>
  <c r="H95" i="11" l="1"/>
  <c r="F38" i="11"/>
  <c r="E40" i="11" s="1"/>
  <c r="H96" i="11"/>
  <c r="AV6" i="11"/>
  <c r="AW5" i="11"/>
  <c r="H38" i="11" l="1"/>
  <c r="F40" i="11"/>
  <c r="E42" i="11" s="1"/>
  <c r="AW6" i="11"/>
  <c r="AX5" i="11"/>
  <c r="H40" i="11" l="1"/>
  <c r="F42" i="11"/>
  <c r="H42" i="11" s="1"/>
  <c r="AY5" i="11"/>
  <c r="AX6" i="11"/>
  <c r="E45" i="11" l="1"/>
  <c r="E44" i="11"/>
  <c r="AY6" i="11"/>
  <c r="AY4" i="11"/>
  <c r="AZ5" i="11"/>
  <c r="F44" i="11" l="1"/>
  <c r="H44" i="11" s="1"/>
  <c r="F45" i="11"/>
  <c r="E46" i="11" s="1"/>
  <c r="BA5" i="11"/>
  <c r="AZ6" i="11"/>
  <c r="H45" i="11" l="1"/>
  <c r="F46" i="11"/>
  <c r="E47" i="11" s="1"/>
  <c r="BB5" i="11"/>
  <c r="BA6" i="11"/>
  <c r="H46" i="11" l="1"/>
  <c r="F47" i="11"/>
  <c r="E99" i="11" s="1"/>
  <c r="BB6" i="11"/>
  <c r="BC5" i="11"/>
  <c r="H47" i="11" l="1"/>
  <c r="F99" i="11"/>
  <c r="E100" i="11" s="1"/>
  <c r="BC6" i="11"/>
  <c r="BD5" i="11"/>
  <c r="H99" i="11" l="1"/>
  <c r="F100" i="11"/>
  <c r="E101" i="11" s="1"/>
  <c r="BE5" i="11"/>
  <c r="BD6" i="11"/>
  <c r="H100" i="11" l="1"/>
  <c r="F101" i="11"/>
  <c r="E103" i="11" s="1"/>
  <c r="BE6" i="11"/>
  <c r="BF5" i="11"/>
  <c r="H101" i="11" l="1"/>
  <c r="F103" i="11"/>
  <c r="E105" i="11" s="1"/>
  <c r="BF4" i="11"/>
  <c r="BG5" i="11"/>
  <c r="BF6" i="11"/>
  <c r="H103" i="11" l="1"/>
  <c r="F105" i="11"/>
  <c r="E108" i="11" s="1"/>
  <c r="BH5" i="11"/>
  <c r="BG6" i="11"/>
  <c r="H105" i="11" l="1"/>
  <c r="F108" i="11"/>
  <c r="H108" i="11" s="1"/>
  <c r="BH6" i="11"/>
  <c r="BI5" i="11"/>
  <c r="E109" i="11" l="1"/>
  <c r="E110" i="11"/>
  <c r="BI6" i="11"/>
  <c r="BJ5" i="11"/>
  <c r="F110" i="11" l="1"/>
  <c r="E112" i="11" s="1"/>
  <c r="H110" i="11"/>
  <c r="F109" i="11"/>
  <c r="H109" i="11" s="1"/>
  <c r="BK5" i="11"/>
  <c r="BJ6" i="11"/>
  <c r="F112" i="11" l="1"/>
  <c r="E114" i="11" s="1"/>
  <c r="BL5" i="11"/>
  <c r="BK6" i="11"/>
  <c r="H112" i="11" l="1"/>
  <c r="F114" i="11"/>
  <c r="E115" i="11" s="1"/>
  <c r="BL6" i="11"/>
  <c r="BM5" i="11"/>
  <c r="H114" i="11" l="1"/>
  <c r="F115" i="11"/>
  <c r="E116" i="11" s="1"/>
  <c r="BN5" i="11"/>
  <c r="BM6" i="11"/>
  <c r="BM4" i="11"/>
  <c r="H115" i="11" l="1"/>
  <c r="F116" i="11"/>
  <c r="E119" i="11" s="1"/>
  <c r="BN6" i="11"/>
  <c r="BO5" i="11"/>
  <c r="H116" i="11" l="1"/>
  <c r="F119" i="11"/>
  <c r="E120" i="11" s="1"/>
  <c r="BO6" i="11"/>
  <c r="BP5" i="11"/>
  <c r="H119" i="11" l="1"/>
  <c r="F120" i="11"/>
  <c r="E121" i="11" s="1"/>
  <c r="BQ5" i="11"/>
  <c r="BP6" i="11"/>
  <c r="H120" i="11" l="1"/>
  <c r="F121" i="11"/>
  <c r="E123" i="11" s="1"/>
  <c r="BR5" i="11"/>
  <c r="BQ6" i="11"/>
  <c r="H121" i="11" l="1"/>
  <c r="F123" i="11"/>
  <c r="E125" i="11" s="1"/>
  <c r="BR6" i="11"/>
  <c r="BS5" i="11"/>
  <c r="H123" i="11" l="1"/>
  <c r="F125" i="11"/>
  <c r="BT5" i="11"/>
  <c r="BS6" i="11"/>
  <c r="E126" i="11" l="1"/>
  <c r="F126" i="11" s="1"/>
  <c r="E127" i="11"/>
  <c r="H125" i="11"/>
  <c r="F127" i="11"/>
  <c r="H126" i="11"/>
  <c r="BU5" i="11"/>
  <c r="BT6" i="11"/>
  <c r="BT4" i="11"/>
  <c r="E128" i="11" l="1"/>
  <c r="F128" i="11" s="1"/>
  <c r="E129" i="11" s="1"/>
  <c r="F129" i="11" s="1"/>
  <c r="E130" i="11" s="1"/>
  <c r="F130" i="11" s="1"/>
  <c r="E131" i="11" s="1"/>
  <c r="H127" i="11"/>
  <c r="H128" i="11"/>
  <c r="BU6" i="11"/>
  <c r="BV5" i="11"/>
  <c r="F131" i="11" l="1"/>
  <c r="E133" i="11" s="1"/>
  <c r="F133" i="11" s="1"/>
  <c r="H129" i="11"/>
  <c r="E135" i="11"/>
  <c r="E137" i="11" s="1"/>
  <c r="H130" i="11"/>
  <c r="BW5" i="11"/>
  <c r="BV6" i="11"/>
  <c r="F135" i="11" l="1"/>
  <c r="E132" i="11"/>
  <c r="F132" i="11" s="1"/>
  <c r="E134" i="11" s="1"/>
  <c r="F134" i="11" s="1"/>
  <c r="H131" i="11"/>
  <c r="H133" i="11"/>
  <c r="H132" i="11"/>
  <c r="BX5" i="11"/>
  <c r="BW6" i="11"/>
  <c r="E138" i="11" l="1"/>
  <c r="F137" i="11"/>
  <c r="H137" i="11" s="1"/>
  <c r="H135" i="11"/>
  <c r="H134" i="11"/>
  <c r="BX6" i="11"/>
  <c r="BY5" i="11"/>
  <c r="F138" i="11" l="1"/>
  <c r="E141" i="11" s="1"/>
  <c r="BZ5" i="11"/>
  <c r="BY6" i="11"/>
  <c r="H138" i="11" l="1"/>
  <c r="F141" i="11"/>
  <c r="H141" i="11"/>
  <c r="CA5" i="11"/>
  <c r="BZ6" i="11"/>
  <c r="E142" i="11" l="1"/>
  <c r="E143" i="11"/>
  <c r="CA6" i="11"/>
  <c r="CB5" i="11"/>
  <c r="CA4" i="11"/>
  <c r="F143" i="11" l="1"/>
  <c r="E145" i="11" s="1"/>
  <c r="H143" i="11"/>
  <c r="F142" i="11"/>
  <c r="H142" i="11" s="1"/>
  <c r="CC5" i="11"/>
  <c r="CB6" i="11"/>
  <c r="F145" i="11" l="1"/>
  <c r="H145" i="11"/>
  <c r="CC6" i="11"/>
  <c r="CD5" i="11"/>
  <c r="E147" i="11" l="1"/>
  <c r="E146" i="11"/>
  <c r="CD6" i="11"/>
  <c r="CE5" i="11"/>
  <c r="F146" i="11" l="1"/>
  <c r="H146" i="11" s="1"/>
  <c r="F147" i="11"/>
  <c r="E150" i="11" s="1"/>
  <c r="CE6" i="11"/>
  <c r="CF5" i="11"/>
  <c r="H147" i="11" l="1"/>
  <c r="F150" i="11"/>
  <c r="H150" i="11" s="1"/>
  <c r="CG5" i="11"/>
  <c r="CF6" i="11"/>
  <c r="E152" i="11" l="1"/>
  <c r="E151" i="11"/>
  <c r="CH5" i="11"/>
  <c r="CG6" i="11"/>
  <c r="F151" i="11" l="1"/>
  <c r="H151" i="11"/>
  <c r="F152" i="11"/>
  <c r="CH6" i="11"/>
  <c r="CI5" i="11"/>
  <c r="CH4" i="11"/>
  <c r="E153" i="11" l="1"/>
  <c r="E154" i="11"/>
  <c r="H152" i="11"/>
  <c r="CJ5" i="11"/>
  <c r="CI6" i="11"/>
  <c r="F154" i="11" l="1"/>
  <c r="E156" i="11" s="1"/>
  <c r="F153" i="11"/>
  <c r="H153" i="11" s="1"/>
  <c r="CJ6" i="11"/>
  <c r="CK5" i="11"/>
  <c r="H154" i="11" l="1"/>
  <c r="F156" i="11"/>
  <c r="H156" i="11" s="1"/>
  <c r="CK6" i="11"/>
  <c r="CL5" i="11"/>
  <c r="E158" i="11" l="1"/>
  <c r="E157" i="11"/>
  <c r="CM5" i="11"/>
  <c r="CL6" i="11"/>
  <c r="F157" i="11" l="1"/>
  <c r="H157" i="11" s="1"/>
  <c r="F158" i="11"/>
  <c r="E159" i="11" s="1"/>
  <c r="CN5" i="11"/>
  <c r="CM6" i="11"/>
  <c r="H158" i="11" l="1"/>
  <c r="F159" i="11"/>
  <c r="E160" i="11" s="1"/>
  <c r="CN6" i="11"/>
  <c r="CO5" i="11"/>
  <c r="H159" i="11" l="1"/>
  <c r="F160" i="11"/>
  <c r="E162" i="11" s="1"/>
  <c r="H160" i="11"/>
  <c r="CO4" i="11"/>
  <c r="CP5" i="11"/>
  <c r="CO6" i="11"/>
  <c r="F162" i="11" l="1"/>
  <c r="H162" i="11"/>
  <c r="CP6" i="11"/>
  <c r="CQ5" i="11"/>
  <c r="E164" i="11" l="1"/>
  <c r="E163" i="11"/>
  <c r="CQ6" i="11"/>
  <c r="CR5" i="11"/>
  <c r="F163" i="11" l="1"/>
  <c r="H163" i="11" s="1"/>
  <c r="F164" i="11"/>
  <c r="H164" i="11" s="1"/>
  <c r="CS5" i="11"/>
  <c r="CR6" i="11"/>
  <c r="E165" i="11" l="1"/>
  <c r="E166" i="11"/>
  <c r="CT5" i="11"/>
  <c r="CS6" i="11"/>
  <c r="F166" i="11" l="1"/>
  <c r="E168" i="11" s="1"/>
  <c r="F165" i="11"/>
  <c r="H165" i="11" s="1"/>
  <c r="CT6" i="11"/>
  <c r="CU5" i="11"/>
  <c r="H166" i="11" l="1"/>
  <c r="F168" i="11"/>
  <c r="H168" i="11" s="1"/>
  <c r="CV5" i="11"/>
  <c r="CU6" i="11"/>
  <c r="E170" i="11" l="1"/>
  <c r="E169" i="11"/>
  <c r="CW5" i="11"/>
  <c r="CV4" i="11"/>
  <c r="CV6" i="11"/>
  <c r="F169" i="11" l="1"/>
  <c r="H169" i="11"/>
  <c r="F170" i="11"/>
  <c r="H170" i="11" s="1"/>
  <c r="CW6" i="11"/>
  <c r="CX5" i="11"/>
  <c r="E171" i="11" l="1"/>
  <c r="E172" i="11"/>
  <c r="CY5" i="11"/>
  <c r="CX6" i="11"/>
  <c r="F172" i="11" l="1"/>
  <c r="E175" i="11" s="1"/>
  <c r="H172" i="11"/>
  <c r="F171" i="11"/>
  <c r="H171" i="11" s="1"/>
  <c r="CZ5" i="11"/>
  <c r="CY6" i="11"/>
  <c r="F175" i="11" l="1"/>
  <c r="E176" i="11" s="1"/>
  <c r="CZ6" i="11"/>
  <c r="DA5" i="11"/>
  <c r="H175" i="11" l="1"/>
  <c r="F176" i="11"/>
  <c r="E178" i="11" s="1"/>
  <c r="H176" i="11"/>
  <c r="DA6" i="11"/>
  <c r="DB5" i="11"/>
  <c r="F178" i="11" l="1"/>
  <c r="E180" i="11" s="1"/>
  <c r="H178" i="11"/>
  <c r="DC5" i="11"/>
  <c r="DB6" i="11"/>
  <c r="F180" i="11" l="1"/>
  <c r="H180" i="11"/>
  <c r="DC4" i="11"/>
  <c r="DC6" i="11"/>
  <c r="DD5" i="11"/>
  <c r="E181" i="11" l="1"/>
  <c r="E182" i="11"/>
  <c r="DE5" i="11"/>
  <c r="DD6" i="11"/>
  <c r="F182" i="11" l="1"/>
  <c r="E184" i="11" s="1"/>
  <c r="H182" i="11"/>
  <c r="F181" i="11"/>
  <c r="H181" i="11" s="1"/>
  <c r="DF5" i="11"/>
  <c r="DE6" i="11"/>
  <c r="F184" i="11" l="1"/>
  <c r="E185" i="11" s="1"/>
  <c r="H184" i="11"/>
  <c r="DF6" i="11"/>
  <c r="DG5" i="11"/>
  <c r="F185" i="11" l="1"/>
  <c r="E188" i="11" s="1"/>
  <c r="H185" i="11"/>
  <c r="DH5" i="11"/>
  <c r="DG6" i="11"/>
  <c r="F188" i="11" l="1"/>
  <c r="H188" i="11" s="1"/>
  <c r="DH6" i="11"/>
  <c r="DI5" i="11"/>
  <c r="E189" i="11" l="1"/>
  <c r="E190" i="11"/>
  <c r="DJ5" i="11"/>
  <c r="DI6" i="11"/>
  <c r="F190" i="11" l="1"/>
  <c r="H190" i="11"/>
  <c r="F189" i="11"/>
  <c r="DJ6" i="11"/>
  <c r="DK5" i="11"/>
  <c r="DJ4" i="11"/>
  <c r="E193" i="11" l="1"/>
  <c r="E191" i="11"/>
  <c r="H189" i="11"/>
  <c r="DL5" i="11"/>
  <c r="DK6" i="11"/>
  <c r="F191" i="11" l="1"/>
  <c r="H191" i="11"/>
  <c r="F193" i="11"/>
  <c r="E194" i="11" s="1"/>
  <c r="DL6" i="11"/>
  <c r="DM5" i="11"/>
  <c r="H193" i="11" l="1"/>
  <c r="F194" i="11"/>
  <c r="E197" i="11" s="1"/>
  <c r="H194" i="11"/>
  <c r="DN5" i="11"/>
  <c r="DM6" i="11"/>
  <c r="F197" i="11" l="1"/>
  <c r="H197" i="11" s="1"/>
  <c r="DO5" i="11"/>
  <c r="DN6" i="11"/>
  <c r="E198" i="11" l="1"/>
  <c r="E199" i="11"/>
  <c r="DP5" i="11"/>
  <c r="DO6" i="11"/>
  <c r="F199" i="11" l="1"/>
  <c r="E201" i="11" s="1"/>
  <c r="H199" i="11"/>
  <c r="F198" i="11"/>
  <c r="H198" i="11" s="1"/>
  <c r="DP6" i="11"/>
  <c r="DQ5" i="11"/>
  <c r="F201" i="11" l="1"/>
  <c r="E202" i="11" s="1"/>
  <c r="H201" i="11"/>
  <c r="DR5" i="11"/>
  <c r="DQ6" i="11"/>
  <c r="DQ4" i="11"/>
  <c r="F202" i="11" l="1"/>
  <c r="E205" i="11" s="1"/>
  <c r="DR6" i="11"/>
  <c r="DS5" i="11"/>
  <c r="H202" i="11" l="1"/>
  <c r="F205" i="11"/>
  <c r="H205" i="11"/>
  <c r="DS6" i="11"/>
  <c r="DT5" i="11"/>
  <c r="E206" i="11" l="1"/>
  <c r="E207" i="11"/>
  <c r="DU5" i="11"/>
  <c r="DT6" i="11"/>
  <c r="F207" i="11" l="1"/>
  <c r="E209" i="11" s="1"/>
  <c r="F206" i="11"/>
  <c r="H206" i="11"/>
  <c r="DV5" i="11"/>
  <c r="DU6" i="11"/>
  <c r="H207" i="11" l="1"/>
  <c r="F209" i="11"/>
  <c r="E210" i="11" s="1"/>
  <c r="DV6" i="11"/>
  <c r="DW5" i="11"/>
  <c r="H209" i="11" l="1"/>
  <c r="F210" i="11"/>
  <c r="E213" i="11" s="1"/>
  <c r="DX5" i="11"/>
  <c r="DW6" i="11"/>
  <c r="H210" i="11" l="1"/>
  <c r="F213" i="11"/>
  <c r="E214" i="11" s="1"/>
  <c r="H213" i="11"/>
  <c r="DY5" i="11"/>
  <c r="DX4" i="11"/>
  <c r="DX6" i="11"/>
  <c r="F214" i="11" l="1"/>
  <c r="E216" i="11" s="1"/>
  <c r="H214" i="11"/>
  <c r="DY6" i="11"/>
  <c r="DZ5" i="11"/>
  <c r="F216" i="11" l="1"/>
  <c r="E217" i="11" s="1"/>
  <c r="EA5" i="11"/>
  <c r="DZ6" i="11"/>
  <c r="H216" i="11" l="1"/>
  <c r="F217" i="11"/>
  <c r="E219" i="11" s="1"/>
  <c r="H217" i="11"/>
  <c r="EA6" i="11"/>
  <c r="EB5" i="11"/>
  <c r="F219" i="11" l="1"/>
  <c r="E220" i="11" s="1"/>
  <c r="H219" i="11"/>
  <c r="EB6" i="11"/>
  <c r="EC5" i="11"/>
  <c r="F220" i="11" l="1"/>
  <c r="E222" i="11" s="1"/>
  <c r="H220" i="11"/>
  <c r="EC6" i="11"/>
  <c r="ED5" i="11"/>
  <c r="ED6" i="11" s="1"/>
  <c r="F222" i="11" l="1"/>
  <c r="E223" i="11" s="1"/>
  <c r="H222" i="11"/>
  <c r="F223" i="11" l="1"/>
  <c r="E225" i="11" s="1"/>
  <c r="H223" i="11"/>
  <c r="F225" i="11" l="1"/>
  <c r="E226" i="11" s="1"/>
  <c r="H225" i="11" l="1"/>
  <c r="F226" i="11"/>
  <c r="H226" i="11"/>
  <c r="E231" i="11" l="1"/>
  <c r="E228" i="11"/>
  <c r="F228" i="11" l="1"/>
  <c r="E229" i="11" s="1"/>
  <c r="H228" i="11"/>
  <c r="F231" i="11"/>
  <c r="E232" i="11" s="1"/>
  <c r="H231" i="11" l="1"/>
  <c r="F232" i="11"/>
  <c r="E234" i="11" s="1"/>
  <c r="F229" i="11"/>
  <c r="H229" i="11" s="1"/>
  <c r="H232" i="11" l="1"/>
  <c r="F234" i="11"/>
  <c r="E235" i="11" s="1"/>
  <c r="H234" i="11"/>
  <c r="F235" i="11" l="1"/>
  <c r="E237" i="11" s="1"/>
  <c r="H235" i="11"/>
  <c r="F237" i="11" l="1"/>
  <c r="E238" i="11" s="1"/>
  <c r="H237" i="11"/>
  <c r="F238" i="11" l="1"/>
  <c r="E240" i="11" s="1"/>
  <c r="H238" i="11" l="1"/>
  <c r="F240" i="11"/>
  <c r="E241" i="11" s="1"/>
  <c r="H240" i="11"/>
  <c r="F241" i="11" l="1"/>
  <c r="E243" i="11" s="1"/>
  <c r="H241" i="11"/>
  <c r="F243" i="11" l="1"/>
  <c r="E244" i="11" s="1"/>
  <c r="F244" i="11" l="1"/>
  <c r="E246" i="11" s="1"/>
  <c r="H244" i="11"/>
  <c r="H243" i="11"/>
  <c r="F246" i="11" l="1"/>
  <c r="E247" i="11" s="1"/>
  <c r="F247" i="11" l="1"/>
  <c r="E250" i="11" s="1"/>
  <c r="H247" i="11"/>
  <c r="H246" i="11"/>
  <c r="F250" i="11" l="1"/>
  <c r="E254" i="11" s="1"/>
  <c r="H250" i="11"/>
  <c r="F254" i="11" l="1"/>
  <c r="E255" i="11" s="1"/>
  <c r="H254" i="11"/>
  <c r="F255" i="11" l="1"/>
  <c r="H255" i="11"/>
  <c r="E257" i="11" l="1"/>
  <c r="E258" i="11"/>
  <c r="F257" i="11"/>
  <c r="H257" i="11"/>
  <c r="F258" i="11" l="1"/>
  <c r="E260" i="11" s="1"/>
  <c r="H258" i="11"/>
  <c r="F260" i="11" l="1"/>
  <c r="E261" i="11" s="1"/>
  <c r="H260" i="11"/>
  <c r="F261" i="11" l="1"/>
  <c r="E264" i="11" s="1"/>
  <c r="H261" i="11"/>
  <c r="F264" i="11" l="1"/>
  <c r="E266" i="11" s="1"/>
  <c r="H264" i="11"/>
  <c r="F266" i="11" l="1"/>
  <c r="E268" i="11" s="1"/>
  <c r="H266" i="11"/>
  <c r="F268" i="11" l="1"/>
  <c r="E269" i="11" s="1"/>
  <c r="H268" i="11"/>
  <c r="F269" i="11" l="1"/>
  <c r="E271" i="11" s="1"/>
  <c r="H269" i="11" l="1"/>
  <c r="F271" i="11"/>
  <c r="E273" i="11" s="1"/>
  <c r="H271" i="11"/>
  <c r="F273" i="11" l="1"/>
  <c r="E275" i="11" s="1"/>
  <c r="H273" i="11"/>
  <c r="H275" i="11" l="1"/>
</calcChain>
</file>

<file path=xl/sharedStrings.xml><?xml version="1.0" encoding="utf-8"?>
<sst xmlns="http://schemas.openxmlformats.org/spreadsheetml/2006/main" count="580" uniqueCount="270">
  <si>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</si>
  <si>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セル B2 には会社の名前を入力します。</t>
  </si>
  <si>
    <t>セル B3 に、プロジェクト主任の名前を入力します。セル E3 には、プロジェクトの開始日を入力します。プロジェクトの開始: ラベルはセル C3 にあります。</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</si>
  <si>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</si>
  <si>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</si>
  <si>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</si>
  <si>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</si>
  <si>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</si>
  <si>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</si>
  <si>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</si>
  <si>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</si>
  <si>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サンプル フェーズ タイトル ブロック</t>
  </si>
  <si>
    <t>これは空の行です</t>
  </si>
  <si>
    <t>会社名</t>
  </si>
  <si>
    <t>プロジェクト主任</t>
  </si>
  <si>
    <t>プロジェクトの開始:</t>
  </si>
  <si>
    <t>週表示:</t>
  </si>
  <si>
    <t>進捗状況</t>
  </si>
  <si>
    <t>開始</t>
  </si>
  <si>
    <t>終了</t>
  </si>
  <si>
    <t>日数</t>
  </si>
  <si>
    <t>シンプル ガント チャート (Vertex42.com)</t>
  </si>
  <si>
    <t>https://www.vertex42.com/ExcelTemplates/simple-gantt-chart.html</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</si>
  <si>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</si>
  <si>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</si>
  <si>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</si>
  <si>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</si>
  <si>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</si>
  <si>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</si>
  <si>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</si>
  <si>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</si>
  <si>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</si>
  <si>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</si>
  <si>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</si>
  <si>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</si>
  <si>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担当者</t>
    <phoneticPr fontId="28"/>
  </si>
  <si>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</si>
  <si>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ギャラクシーシューター（仮）</t>
    <rPh sb="12" eb="13">
      <t>カリ</t>
    </rPh>
    <phoneticPr fontId="28"/>
  </si>
  <si>
    <t>新谷　琥太郎</t>
    <rPh sb="0" eb="2">
      <t>シンタニ</t>
    </rPh>
    <rPh sb="3" eb="6">
      <t>コタロウ</t>
    </rPh>
    <phoneticPr fontId="28"/>
  </si>
  <si>
    <t>メイン</t>
    <phoneticPr fontId="28"/>
  </si>
  <si>
    <t>タスク</t>
    <phoneticPr fontId="28"/>
  </si>
  <si>
    <t>プレイヤー</t>
    <phoneticPr fontId="28"/>
  </si>
  <si>
    <t>宇宙船本体</t>
    <rPh sb="0" eb="3">
      <t>ウチュウセン</t>
    </rPh>
    <rPh sb="3" eb="5">
      <t>ホンタイ</t>
    </rPh>
    <phoneticPr fontId="28"/>
  </si>
  <si>
    <t>見た目を探す</t>
    <phoneticPr fontId="28"/>
  </si>
  <si>
    <t>見た目の実装</t>
    <phoneticPr fontId="28"/>
  </si>
  <si>
    <t>宇宙船の実装</t>
    <phoneticPr fontId="28"/>
  </si>
  <si>
    <t>移動(WASD)</t>
    <rPh sb="0" eb="2">
      <t>イドウ</t>
    </rPh>
    <phoneticPr fontId="28"/>
  </si>
  <si>
    <t>移動(WASD)の実装</t>
    <rPh sb="0" eb="2">
      <t>イドウ</t>
    </rPh>
    <rPh sb="9" eb="11">
      <t>ジッソウ</t>
    </rPh>
    <phoneticPr fontId="28"/>
  </si>
  <si>
    <t>低速移動の実装</t>
    <phoneticPr fontId="28"/>
  </si>
  <si>
    <t>視点移動</t>
    <rPh sb="0" eb="4">
      <t>シテンイドウ</t>
    </rPh>
    <phoneticPr fontId="28"/>
  </si>
  <si>
    <t>視点移動の実装</t>
    <rPh sb="0" eb="4">
      <t>シテンイドウ</t>
    </rPh>
    <rPh sb="5" eb="7">
      <t>ジッソウ</t>
    </rPh>
    <phoneticPr fontId="28"/>
  </si>
  <si>
    <t>弾を撃たせる</t>
    <rPh sb="0" eb="1">
      <t>タマ</t>
    </rPh>
    <rPh sb="2" eb="3">
      <t>ウ</t>
    </rPh>
    <phoneticPr fontId="28"/>
  </si>
  <si>
    <t>弾の見た目を探す</t>
    <phoneticPr fontId="28"/>
  </si>
  <si>
    <t>弾の見た目を実装</t>
    <phoneticPr fontId="28"/>
  </si>
  <si>
    <t>左クリックで弾を撃てるようにする</t>
    <phoneticPr fontId="28"/>
  </si>
  <si>
    <t>弾の実装</t>
    <phoneticPr fontId="28"/>
  </si>
  <si>
    <t>当たり判定</t>
    <rPh sb="0" eb="1">
      <t>ア</t>
    </rPh>
    <rPh sb="3" eb="5">
      <t>ハンテイ</t>
    </rPh>
    <phoneticPr fontId="28"/>
  </si>
  <si>
    <t>当たり判定の実装</t>
    <rPh sb="0" eb="1">
      <t>ア</t>
    </rPh>
    <rPh sb="3" eb="5">
      <t>ハンテイ</t>
    </rPh>
    <rPh sb="6" eb="8">
      <t>ジッソウ</t>
    </rPh>
    <phoneticPr fontId="28"/>
  </si>
  <si>
    <t>HP</t>
    <phoneticPr fontId="28"/>
  </si>
  <si>
    <t>ステージ</t>
    <phoneticPr fontId="28"/>
  </si>
  <si>
    <t>ステージの広さを決める(XYZ)</t>
    <phoneticPr fontId="28"/>
  </si>
  <si>
    <t>・見た目の実装</t>
    <phoneticPr fontId="28"/>
  </si>
  <si>
    <t>境界線の実装（ステージの端）</t>
    <phoneticPr fontId="28"/>
  </si>
  <si>
    <t>ステージの実装</t>
    <phoneticPr fontId="28"/>
  </si>
  <si>
    <t>UI</t>
    <phoneticPr fontId="28"/>
  </si>
  <si>
    <t>残り時間を表示</t>
    <phoneticPr fontId="28"/>
  </si>
  <si>
    <t>現在スコアを表示</t>
    <phoneticPr fontId="28"/>
  </si>
  <si>
    <t>現在座標の表示（最優先）</t>
    <rPh sb="8" eb="11">
      <t>サイユウセン</t>
    </rPh>
    <phoneticPr fontId="28"/>
  </si>
  <si>
    <t>敵の残り数を表示</t>
    <phoneticPr fontId="28"/>
  </si>
  <si>
    <t>ステージ本体</t>
    <rPh sb="4" eb="6">
      <t>ホンタイ</t>
    </rPh>
    <phoneticPr fontId="28"/>
  </si>
  <si>
    <t>時間</t>
    <rPh sb="0" eb="2">
      <t>ジカン</t>
    </rPh>
    <phoneticPr fontId="28"/>
  </si>
  <si>
    <t>スコア</t>
    <phoneticPr fontId="28"/>
  </si>
  <si>
    <t>座標</t>
    <rPh sb="0" eb="2">
      <t>ザヒョウ</t>
    </rPh>
    <phoneticPr fontId="28"/>
  </si>
  <si>
    <t>敵の残り数</t>
    <rPh sb="0" eb="1">
      <t>テキ</t>
    </rPh>
    <rPh sb="2" eb="3">
      <t>ノコ</t>
    </rPh>
    <rPh sb="4" eb="5">
      <t>カズ</t>
    </rPh>
    <phoneticPr fontId="28"/>
  </si>
  <si>
    <t>プレイヤーのHPの見た目を探す</t>
    <phoneticPr fontId="28"/>
  </si>
  <si>
    <t>プレイヤーのHPの見た目を実装</t>
    <phoneticPr fontId="28"/>
  </si>
  <si>
    <t>プレイヤーのHPの実装</t>
    <phoneticPr fontId="28"/>
  </si>
  <si>
    <t>敵１</t>
    <rPh sb="0" eb="1">
      <t>テキ</t>
    </rPh>
    <phoneticPr fontId="28"/>
  </si>
  <si>
    <t>弾を撃たせる</t>
    <phoneticPr fontId="28"/>
  </si>
  <si>
    <t>プレイヤー追尾</t>
    <phoneticPr fontId="28"/>
  </si>
  <si>
    <t>プレイヤー追尾を実装</t>
    <phoneticPr fontId="28"/>
  </si>
  <si>
    <t>範囲内のプレイヤーを見つける機能を実装</t>
    <rPh sb="0" eb="3">
      <t>ハンイナイ</t>
    </rPh>
    <rPh sb="10" eb="11">
      <t>ミ</t>
    </rPh>
    <rPh sb="14" eb="16">
      <t>キノウ</t>
    </rPh>
    <rPh sb="17" eb="19">
      <t>ジッソウ</t>
    </rPh>
    <phoneticPr fontId="28"/>
  </si>
  <si>
    <t>出現演出</t>
    <phoneticPr fontId="28"/>
  </si>
  <si>
    <t>狭間の見た目を探す</t>
    <phoneticPr fontId="28"/>
  </si>
  <si>
    <t>狭間の見た目を実装</t>
    <phoneticPr fontId="28"/>
  </si>
  <si>
    <t>狭間の実装</t>
    <phoneticPr fontId="28"/>
  </si>
  <si>
    <t>狭間に敵を沸かせる機能を実装</t>
    <rPh sb="3" eb="4">
      <t>テキ</t>
    </rPh>
    <rPh sb="5" eb="6">
      <t>ワ</t>
    </rPh>
    <rPh sb="9" eb="11">
      <t>キノウ</t>
    </rPh>
    <phoneticPr fontId="28"/>
  </si>
  <si>
    <t>当たり判定</t>
    <phoneticPr fontId="28"/>
  </si>
  <si>
    <t>当たり判定の実装</t>
    <phoneticPr fontId="28"/>
  </si>
  <si>
    <t>敵１のギミック</t>
    <rPh sb="0" eb="1">
      <t>テキ</t>
    </rPh>
    <phoneticPr fontId="28"/>
  </si>
  <si>
    <t>普通の弾を出す</t>
    <rPh sb="0" eb="2">
      <t>フツウ</t>
    </rPh>
    <rPh sb="3" eb="4">
      <t>タマ</t>
    </rPh>
    <rPh sb="5" eb="6">
      <t>ダ</t>
    </rPh>
    <phoneticPr fontId="28"/>
  </si>
  <si>
    <t>敵２</t>
    <rPh sb="0" eb="1">
      <t>テキ</t>
    </rPh>
    <phoneticPr fontId="28"/>
  </si>
  <si>
    <t>敵２のギミック</t>
    <rPh sb="0" eb="1">
      <t>テキ</t>
    </rPh>
    <phoneticPr fontId="28"/>
  </si>
  <si>
    <t>敵（全体）</t>
    <rPh sb="0" eb="1">
      <t>テキ</t>
    </rPh>
    <rPh sb="2" eb="4">
      <t>ゼンタイ</t>
    </rPh>
    <phoneticPr fontId="28"/>
  </si>
  <si>
    <t>前方にシールドを貼る機能を実装</t>
    <rPh sb="0" eb="2">
      <t>ゼンポウ</t>
    </rPh>
    <rPh sb="8" eb="9">
      <t>ハ</t>
    </rPh>
    <rPh sb="10" eb="12">
      <t>キノウ</t>
    </rPh>
    <rPh sb="13" eb="15">
      <t>ジッソウ</t>
    </rPh>
    <phoneticPr fontId="28"/>
  </si>
  <si>
    <t>何回か打たれるとシールドが壊れる機能を実装</t>
    <rPh sb="0" eb="2">
      <t>ナンカイ</t>
    </rPh>
    <rPh sb="3" eb="4">
      <t>ウ</t>
    </rPh>
    <rPh sb="13" eb="14">
      <t>コワ</t>
    </rPh>
    <rPh sb="16" eb="18">
      <t>キノウ</t>
    </rPh>
    <rPh sb="19" eb="21">
      <t>ジッソウ</t>
    </rPh>
    <phoneticPr fontId="28"/>
  </si>
  <si>
    <t>一定時間たつとシールドが再生する機能を実装</t>
    <rPh sb="0" eb="4">
      <t>イッテイジカン</t>
    </rPh>
    <rPh sb="12" eb="14">
      <t>サイセイ</t>
    </rPh>
    <rPh sb="16" eb="18">
      <t>キノウ</t>
    </rPh>
    <rPh sb="19" eb="21">
      <t>ジッソウ</t>
    </rPh>
    <phoneticPr fontId="28"/>
  </si>
  <si>
    <t>敵３</t>
    <rPh sb="0" eb="1">
      <t>テキ</t>
    </rPh>
    <phoneticPr fontId="28"/>
  </si>
  <si>
    <t>敵３のギミック</t>
    <rPh sb="0" eb="1">
      <t>テキ</t>
    </rPh>
    <phoneticPr fontId="28"/>
  </si>
  <si>
    <t>プレイヤーに近づく機能を実装</t>
    <rPh sb="6" eb="7">
      <t>チカ</t>
    </rPh>
    <rPh sb="9" eb="11">
      <t>キノウ</t>
    </rPh>
    <rPh sb="12" eb="14">
      <t>ジッソウ</t>
    </rPh>
    <phoneticPr fontId="28"/>
  </si>
  <si>
    <t>プレイヤーの一定範囲内に入ると自爆する機能を実装</t>
    <rPh sb="6" eb="8">
      <t>イッテイ</t>
    </rPh>
    <rPh sb="8" eb="10">
      <t>ハンイ</t>
    </rPh>
    <rPh sb="10" eb="11">
      <t>ナイ</t>
    </rPh>
    <rPh sb="12" eb="13">
      <t>ハイ</t>
    </rPh>
    <rPh sb="15" eb="17">
      <t>ジバク</t>
    </rPh>
    <rPh sb="19" eb="21">
      <t>キノウ</t>
    </rPh>
    <rPh sb="22" eb="24">
      <t>ジッソウ</t>
    </rPh>
    <phoneticPr fontId="28"/>
  </si>
  <si>
    <t>敵４</t>
    <rPh sb="0" eb="1">
      <t>テキ</t>
    </rPh>
    <phoneticPr fontId="28"/>
  </si>
  <si>
    <t>敵４のギミック</t>
    <rPh sb="0" eb="1">
      <t>テキ</t>
    </rPh>
    <phoneticPr fontId="28"/>
  </si>
  <si>
    <t>移動速度を早く設定</t>
    <rPh sb="0" eb="4">
      <t>イドウソクド</t>
    </rPh>
    <rPh sb="5" eb="6">
      <t>ハヤ</t>
    </rPh>
    <rPh sb="7" eb="9">
      <t>セッテイ</t>
    </rPh>
    <phoneticPr fontId="28"/>
  </si>
  <si>
    <t>敵５</t>
    <rPh sb="0" eb="1">
      <t>テキ</t>
    </rPh>
    <phoneticPr fontId="28"/>
  </si>
  <si>
    <t>敵５のギミック</t>
    <rPh sb="0" eb="1">
      <t>テキ</t>
    </rPh>
    <phoneticPr fontId="28"/>
  </si>
  <si>
    <t>デバフの効果を実装</t>
    <rPh sb="4" eb="6">
      <t>コウカ</t>
    </rPh>
    <rPh sb="7" eb="9">
      <t>ジッソウ</t>
    </rPh>
    <phoneticPr fontId="28"/>
  </si>
  <si>
    <t>プレイヤーから一定の距離を保つ機能を実装</t>
    <rPh sb="7" eb="9">
      <t>イッテイ</t>
    </rPh>
    <rPh sb="10" eb="12">
      <t>キョリ</t>
    </rPh>
    <rPh sb="13" eb="14">
      <t>タモ</t>
    </rPh>
    <rPh sb="15" eb="17">
      <t>キノウ</t>
    </rPh>
    <rPh sb="18" eb="20">
      <t>ジッソウ</t>
    </rPh>
    <phoneticPr fontId="28"/>
  </si>
  <si>
    <t>弾を撃つことと距離を置くことの優先度を実装</t>
    <rPh sb="0" eb="1">
      <t>タマ</t>
    </rPh>
    <rPh sb="2" eb="3">
      <t>ウ</t>
    </rPh>
    <rPh sb="7" eb="9">
      <t>キョリ</t>
    </rPh>
    <rPh sb="10" eb="11">
      <t>オ</t>
    </rPh>
    <rPh sb="15" eb="18">
      <t>ユウセンド</t>
    </rPh>
    <rPh sb="19" eb="21">
      <t>ジッソウ</t>
    </rPh>
    <phoneticPr fontId="28"/>
  </si>
  <si>
    <t>基本点</t>
    <rPh sb="0" eb="3">
      <t>キホンテン</t>
    </rPh>
    <phoneticPr fontId="28"/>
  </si>
  <si>
    <t>弾が当たった時にスコアの加点を実装</t>
    <rPh sb="0" eb="1">
      <t>タマ</t>
    </rPh>
    <rPh sb="2" eb="3">
      <t>ア</t>
    </rPh>
    <rPh sb="6" eb="7">
      <t>トキ</t>
    </rPh>
    <rPh sb="12" eb="14">
      <t>カテン</t>
    </rPh>
    <rPh sb="15" eb="17">
      <t>ジッソウ</t>
    </rPh>
    <phoneticPr fontId="28"/>
  </si>
  <si>
    <t>敵が倒れた時にスコアの加点を実装</t>
    <rPh sb="0" eb="1">
      <t>テキ</t>
    </rPh>
    <rPh sb="2" eb="3">
      <t>タオ</t>
    </rPh>
    <rPh sb="5" eb="6">
      <t>トキ</t>
    </rPh>
    <rPh sb="11" eb="13">
      <t>カテン</t>
    </rPh>
    <rPh sb="14" eb="16">
      <t>ジッソウ</t>
    </rPh>
    <phoneticPr fontId="28"/>
  </si>
  <si>
    <t>アイテムを取った時にスコアの加点を実装</t>
    <phoneticPr fontId="28"/>
  </si>
  <si>
    <t>倍率</t>
    <rPh sb="0" eb="2">
      <t>バイリツ</t>
    </rPh>
    <phoneticPr fontId="28"/>
  </si>
  <si>
    <t>残り時間によってスコア倍率が変わるのを実装</t>
    <rPh sb="0" eb="1">
      <t>ノコ</t>
    </rPh>
    <rPh sb="2" eb="4">
      <t>ジカン</t>
    </rPh>
    <rPh sb="11" eb="13">
      <t>バイリツ</t>
    </rPh>
    <rPh sb="14" eb="15">
      <t>カ</t>
    </rPh>
    <rPh sb="19" eb="21">
      <t>ジッソウ</t>
    </rPh>
    <phoneticPr fontId="28"/>
  </si>
  <si>
    <t>コンボでスコア倍率が変わるように実装</t>
    <rPh sb="7" eb="9">
      <t>バイリツ</t>
    </rPh>
    <rPh sb="10" eb="11">
      <t>カ</t>
    </rPh>
    <rPh sb="16" eb="18">
      <t>ジッソウ</t>
    </rPh>
    <phoneticPr fontId="28"/>
  </si>
  <si>
    <t>スコアアイテムを取った時にスコア倍率が変わるのを実装</t>
    <phoneticPr fontId="28"/>
  </si>
  <si>
    <t>タイトル画面</t>
    <rPh sb="4" eb="6">
      <t>ガメン</t>
    </rPh>
    <phoneticPr fontId="28"/>
  </si>
  <si>
    <t>タイトル画面のUI</t>
    <rPh sb="4" eb="6">
      <t>ガメン</t>
    </rPh>
    <phoneticPr fontId="28"/>
  </si>
  <si>
    <t>タイトル画面のUIを作る</t>
    <rPh sb="4" eb="6">
      <t>ガメン</t>
    </rPh>
    <rPh sb="10" eb="11">
      <t>ツク</t>
    </rPh>
    <phoneticPr fontId="28"/>
  </si>
  <si>
    <t>ゲームプレイ移行ボタンの実装</t>
    <rPh sb="6" eb="8">
      <t>イコウ</t>
    </rPh>
    <rPh sb="12" eb="14">
      <t>ジッソウ</t>
    </rPh>
    <phoneticPr fontId="28"/>
  </si>
  <si>
    <t>タイトルの背景</t>
    <phoneticPr fontId="28"/>
  </si>
  <si>
    <t>タイトルの背景を探す</t>
    <phoneticPr fontId="28"/>
  </si>
  <si>
    <t>タイトルの背景を実装</t>
    <rPh sb="5" eb="7">
      <t>ハイケイ</t>
    </rPh>
    <rPh sb="8" eb="10">
      <t>ジッソウ</t>
    </rPh>
    <phoneticPr fontId="28"/>
  </si>
  <si>
    <t>設定画面移行ボタンの実装</t>
    <phoneticPr fontId="28"/>
  </si>
  <si>
    <t>ゲーム終了ボタンの実装</t>
    <rPh sb="3" eb="5">
      <t>シュウリョウ</t>
    </rPh>
    <rPh sb="9" eb="11">
      <t>ジッソウ</t>
    </rPh>
    <phoneticPr fontId="28"/>
  </si>
  <si>
    <t>ゲームクリア画面</t>
    <phoneticPr fontId="28"/>
  </si>
  <si>
    <t>ゲームクリア画面のUI</t>
    <rPh sb="6" eb="8">
      <t>ガメン</t>
    </rPh>
    <phoneticPr fontId="28"/>
  </si>
  <si>
    <t>ゲームクリア画面のUIを作る</t>
    <phoneticPr fontId="28"/>
  </si>
  <si>
    <t>リプレイボタンの実装</t>
    <rPh sb="8" eb="10">
      <t>ジッソウ</t>
    </rPh>
    <phoneticPr fontId="28"/>
  </si>
  <si>
    <t>タイトルへ戻るボタンの実装</t>
    <phoneticPr fontId="28"/>
  </si>
  <si>
    <t>ゲームクリア画面の背景</t>
    <phoneticPr fontId="28"/>
  </si>
  <si>
    <t>ゲームクリア画面の背景を探す</t>
    <phoneticPr fontId="28"/>
  </si>
  <si>
    <t>ゲームクリア画面の背景を実装</t>
    <rPh sb="6" eb="8">
      <t>ガメン</t>
    </rPh>
    <rPh sb="9" eb="11">
      <t>ハイケイ</t>
    </rPh>
    <rPh sb="12" eb="14">
      <t>ジッソウ</t>
    </rPh>
    <phoneticPr fontId="28"/>
  </si>
  <si>
    <t>ゲームオーバー画面</t>
    <phoneticPr fontId="28"/>
  </si>
  <si>
    <t>ゲームオーバー画面のUI</t>
    <rPh sb="7" eb="9">
      <t>ガメン</t>
    </rPh>
    <phoneticPr fontId="28"/>
  </si>
  <si>
    <t>ゲームオーバー画面のUIを作る</t>
    <phoneticPr fontId="28"/>
  </si>
  <si>
    <t>ゲームオーバー画面の背景</t>
    <phoneticPr fontId="28"/>
  </si>
  <si>
    <t>ゲームオーバー画面の背景を探す</t>
    <phoneticPr fontId="28"/>
  </si>
  <si>
    <t>ゲームオーバー画面の背景を実装</t>
    <rPh sb="7" eb="9">
      <t>ガメン</t>
    </rPh>
    <rPh sb="10" eb="12">
      <t>ハイケイ</t>
    </rPh>
    <rPh sb="13" eb="15">
      <t>ジッソウ</t>
    </rPh>
    <phoneticPr fontId="28"/>
  </si>
  <si>
    <t>SE</t>
    <phoneticPr fontId="28"/>
  </si>
  <si>
    <t>隕石破壊のSE</t>
    <rPh sb="0" eb="2">
      <t>インセキ</t>
    </rPh>
    <rPh sb="2" eb="4">
      <t>ハカイ</t>
    </rPh>
    <phoneticPr fontId="28"/>
  </si>
  <si>
    <t>隕石破壊のSEを探す</t>
    <phoneticPr fontId="28"/>
  </si>
  <si>
    <t>隕石破壊のSEを実装</t>
    <phoneticPr fontId="28"/>
  </si>
  <si>
    <t>漂流物破壊のSE</t>
    <rPh sb="0" eb="2">
      <t>ヒョウリュウ</t>
    </rPh>
    <rPh sb="2" eb="3">
      <t>ブツ</t>
    </rPh>
    <rPh sb="3" eb="5">
      <t>ハカイ</t>
    </rPh>
    <phoneticPr fontId="28"/>
  </si>
  <si>
    <t>漂流物破壊のSEを探す</t>
    <phoneticPr fontId="28"/>
  </si>
  <si>
    <t>漂流物破壊のSEを実装</t>
    <phoneticPr fontId="28"/>
  </si>
  <si>
    <t>アイテムを拾った時のSE</t>
    <rPh sb="5" eb="6">
      <t>ヒロ</t>
    </rPh>
    <rPh sb="8" eb="9">
      <t>トキ</t>
    </rPh>
    <phoneticPr fontId="28"/>
  </si>
  <si>
    <t>アイテムを拾った時のSEを探す</t>
    <phoneticPr fontId="28"/>
  </si>
  <si>
    <t>アイテムを拾った時のSEを実装</t>
    <phoneticPr fontId="28"/>
  </si>
  <si>
    <t>時空間移動のSE</t>
    <rPh sb="0" eb="2">
      <t>ジクウ</t>
    </rPh>
    <rPh sb="2" eb="3">
      <t>カン</t>
    </rPh>
    <rPh sb="3" eb="5">
      <t>イドウ</t>
    </rPh>
    <phoneticPr fontId="28"/>
  </si>
  <si>
    <t>時空間移動のSEを探す</t>
    <phoneticPr fontId="28"/>
  </si>
  <si>
    <t>時空間移動のSEを実装</t>
    <phoneticPr fontId="28"/>
  </si>
  <si>
    <t>ボタンクリックのSE</t>
    <phoneticPr fontId="28"/>
  </si>
  <si>
    <t>ボタンクリックのSEを探す</t>
    <phoneticPr fontId="28"/>
  </si>
  <si>
    <t>ボタンクリックのSEを実装</t>
    <phoneticPr fontId="28"/>
  </si>
  <si>
    <t>弾のSEを実装</t>
    <rPh sb="0" eb="1">
      <t>タマ</t>
    </rPh>
    <phoneticPr fontId="28"/>
  </si>
  <si>
    <t>弾のSEを探す</t>
    <rPh sb="0" eb="1">
      <t>タマ</t>
    </rPh>
    <phoneticPr fontId="28"/>
  </si>
  <si>
    <t>弾のSE</t>
    <rPh sb="0" eb="1">
      <t>タマ</t>
    </rPh>
    <phoneticPr fontId="28"/>
  </si>
  <si>
    <t>敵の撃破SE</t>
    <rPh sb="0" eb="1">
      <t>テキ</t>
    </rPh>
    <rPh sb="2" eb="4">
      <t>ゲキハ</t>
    </rPh>
    <phoneticPr fontId="28"/>
  </si>
  <si>
    <t>敵の撃破SEを探す</t>
    <phoneticPr fontId="28"/>
  </si>
  <si>
    <t>敵の撃破SEを実装</t>
    <phoneticPr fontId="28"/>
  </si>
  <si>
    <t>ステージ音楽</t>
    <rPh sb="4" eb="6">
      <t>オンガク</t>
    </rPh>
    <phoneticPr fontId="28"/>
  </si>
  <si>
    <t>ステージ音楽を探す</t>
    <phoneticPr fontId="28"/>
  </si>
  <si>
    <t>ステージ音楽を実装</t>
    <phoneticPr fontId="28"/>
  </si>
  <si>
    <t>タイトル音楽</t>
    <rPh sb="4" eb="6">
      <t>オンガク</t>
    </rPh>
    <phoneticPr fontId="28"/>
  </si>
  <si>
    <t>タイトル音楽を探す</t>
    <phoneticPr fontId="28"/>
  </si>
  <si>
    <t>タイトル音楽を実装</t>
    <phoneticPr fontId="28"/>
  </si>
  <si>
    <t>ゲームクリア音楽</t>
    <rPh sb="6" eb="8">
      <t>オンガク</t>
    </rPh>
    <phoneticPr fontId="28"/>
  </si>
  <si>
    <t>ゲームクリア音楽を探す</t>
    <phoneticPr fontId="28"/>
  </si>
  <si>
    <t>ゲームクリア音楽を実装</t>
    <phoneticPr fontId="28"/>
  </si>
  <si>
    <t>ゲームオーバー音楽</t>
    <rPh sb="7" eb="9">
      <t>オンガク</t>
    </rPh>
    <phoneticPr fontId="28"/>
  </si>
  <si>
    <t>ゲームオーバー音楽を探す</t>
    <phoneticPr fontId="28"/>
  </si>
  <si>
    <t>ゲームオーバー音楽を実装</t>
    <phoneticPr fontId="28"/>
  </si>
  <si>
    <t>その他</t>
    <rPh sb="2" eb="3">
      <t>タ</t>
    </rPh>
    <phoneticPr fontId="28"/>
  </si>
  <si>
    <t>マウスカーソルの非表示</t>
    <rPh sb="8" eb="11">
      <t>ヒヒョウジ</t>
    </rPh>
    <phoneticPr fontId="28"/>
  </si>
  <si>
    <t>マウスカーソルを非表示にする</t>
    <phoneticPr fontId="28"/>
  </si>
  <si>
    <t>アイテム</t>
    <phoneticPr fontId="28"/>
  </si>
  <si>
    <t>隕石</t>
    <rPh sb="0" eb="2">
      <t>インセキ</t>
    </rPh>
    <phoneticPr fontId="28"/>
  </si>
  <si>
    <t>漂流物</t>
    <rPh sb="0" eb="3">
      <t>ヒョウリュウブツ</t>
    </rPh>
    <phoneticPr fontId="28"/>
  </si>
  <si>
    <t>見た目を探す</t>
    <rPh sb="0" eb="1">
      <t>ミ</t>
    </rPh>
    <rPh sb="2" eb="3">
      <t>メ</t>
    </rPh>
    <rPh sb="4" eb="5">
      <t>サガ</t>
    </rPh>
    <phoneticPr fontId="28"/>
  </si>
  <si>
    <t>見た目の実装</t>
    <rPh sb="0" eb="1">
      <t>ミ</t>
    </rPh>
    <rPh sb="2" eb="3">
      <t>メ</t>
    </rPh>
    <rPh sb="4" eb="6">
      <t>ジッソウ</t>
    </rPh>
    <phoneticPr fontId="28"/>
  </si>
  <si>
    <t>壊れた時にアイテムドロップを実装</t>
    <phoneticPr fontId="28"/>
  </si>
  <si>
    <t>隕石の実装</t>
    <phoneticPr fontId="28"/>
  </si>
  <si>
    <t>漂流物の実装</t>
    <rPh sb="0" eb="3">
      <t>ヒョウリュウブツ</t>
    </rPh>
    <phoneticPr fontId="28"/>
  </si>
  <si>
    <t>回復</t>
    <rPh sb="0" eb="2">
      <t>カイフク</t>
    </rPh>
    <phoneticPr fontId="28"/>
  </si>
  <si>
    <t>効果の実装</t>
    <phoneticPr fontId="28"/>
  </si>
  <si>
    <t>回復アイテムの実装</t>
    <rPh sb="0" eb="2">
      <t>カイフク</t>
    </rPh>
    <rPh sb="7" eb="9">
      <t>ジッソウ</t>
    </rPh>
    <phoneticPr fontId="28"/>
  </si>
  <si>
    <t>弾の強化</t>
    <rPh sb="0" eb="1">
      <t>タマ</t>
    </rPh>
    <rPh sb="2" eb="4">
      <t>キョウカ</t>
    </rPh>
    <phoneticPr fontId="28"/>
  </si>
  <si>
    <t>弾の強化アイテムを実装</t>
    <rPh sb="0" eb="1">
      <t>タマ</t>
    </rPh>
    <rPh sb="2" eb="4">
      <t>キョウカ</t>
    </rPh>
    <rPh sb="9" eb="11">
      <t>ジッソウ</t>
    </rPh>
    <phoneticPr fontId="28"/>
  </si>
  <si>
    <t>時空間移動</t>
    <phoneticPr fontId="28"/>
  </si>
  <si>
    <t>効果</t>
    <phoneticPr fontId="28"/>
  </si>
  <si>
    <t>時間が止まる機能を実装</t>
    <rPh sb="0" eb="2">
      <t>ジカン</t>
    </rPh>
    <rPh sb="3" eb="4">
      <t>ト</t>
    </rPh>
    <rPh sb="6" eb="8">
      <t>キノウ</t>
    </rPh>
    <rPh sb="9" eb="11">
      <t>ジッソウ</t>
    </rPh>
    <phoneticPr fontId="28"/>
  </si>
  <si>
    <t>効果の実装</t>
    <rPh sb="0" eb="2">
      <t>コウカ</t>
    </rPh>
    <rPh sb="3" eb="5">
      <t>ジッソウ</t>
    </rPh>
    <phoneticPr fontId="28"/>
  </si>
  <si>
    <t>ボタン</t>
    <phoneticPr fontId="28"/>
  </si>
  <si>
    <t>ボタンの実装</t>
    <rPh sb="4" eb="6">
      <t>ジッソウ</t>
    </rPh>
    <phoneticPr fontId="28"/>
  </si>
  <si>
    <t>クールタイム</t>
    <phoneticPr fontId="28"/>
  </si>
  <si>
    <t>クールタイムの実装</t>
    <rPh sb="7" eb="9">
      <t>ジッソウ</t>
    </rPh>
    <phoneticPr fontId="28"/>
  </si>
  <si>
    <t>クールタイムの設定</t>
    <rPh sb="7" eb="9">
      <t>セッテイ</t>
    </rPh>
    <phoneticPr fontId="28"/>
  </si>
  <si>
    <t>使用可能の通知の実装</t>
    <phoneticPr fontId="28"/>
  </si>
  <si>
    <t>使用時間</t>
    <phoneticPr fontId="28"/>
  </si>
  <si>
    <t>使用時間の実装</t>
    <rPh sb="0" eb="2">
      <t>シヨウ</t>
    </rPh>
    <rPh sb="2" eb="4">
      <t>ジカン</t>
    </rPh>
    <rPh sb="5" eb="7">
      <t>ジッソウ</t>
    </rPh>
    <phoneticPr fontId="28"/>
  </si>
  <si>
    <t>使用時間の設定</t>
    <rPh sb="0" eb="2">
      <t>シヨウ</t>
    </rPh>
    <rPh sb="2" eb="4">
      <t>ジカン</t>
    </rPh>
    <rPh sb="5" eb="7">
      <t>セッテイ</t>
    </rPh>
    <phoneticPr fontId="28"/>
  </si>
  <si>
    <t>出来れば入れたい機能</t>
    <rPh sb="0" eb="2">
      <t>デキ</t>
    </rPh>
    <rPh sb="4" eb="5">
      <t>イ</t>
    </rPh>
    <rPh sb="8" eb="10">
      <t>キノウ</t>
    </rPh>
    <phoneticPr fontId="28"/>
  </si>
  <si>
    <t>設定画面</t>
    <phoneticPr fontId="28"/>
  </si>
  <si>
    <t>設定画面のUI</t>
    <phoneticPr fontId="28"/>
  </si>
  <si>
    <t>設定画面を作る</t>
    <phoneticPr fontId="28"/>
  </si>
  <si>
    <t>調節バーを作る</t>
    <phoneticPr fontId="28"/>
  </si>
  <si>
    <t>視点移動感度</t>
    <phoneticPr fontId="28"/>
  </si>
  <si>
    <t>視点移動感度を調節できるようにする</t>
    <phoneticPr fontId="28"/>
  </si>
  <si>
    <t>音の調節</t>
    <phoneticPr fontId="28"/>
  </si>
  <si>
    <t>音を調節できるようにする</t>
    <phoneticPr fontId="28"/>
  </si>
  <si>
    <t>その他</t>
    <phoneticPr fontId="28"/>
  </si>
  <si>
    <t>マウスカーソルを銃のレティクルにする</t>
    <phoneticPr fontId="28"/>
  </si>
  <si>
    <t>左クリックをおすと銃が撃たれたみたいなUIにしたい</t>
    <phoneticPr fontId="28"/>
  </si>
  <si>
    <t>通信機UIを作る</t>
    <phoneticPr fontId="28"/>
  </si>
  <si>
    <t>通信機から映像がでてきて喋るみたいなことをしたい</t>
    <phoneticPr fontId="28"/>
  </si>
  <si>
    <t>太陽が近くにあるステージを作って熱さダメージを作りたい</t>
    <phoneticPr fontId="28"/>
  </si>
  <si>
    <t>タイトル</t>
    <phoneticPr fontId="28"/>
  </si>
  <si>
    <t>ゲームスタートしたときに背景の宇宙船がとびだす演出を実装したい</t>
    <phoneticPr fontId="28"/>
  </si>
  <si>
    <t>熱ダメージを無効化するアイテムを作る</t>
    <rPh sb="0" eb="1">
      <t>ネツ</t>
    </rPh>
    <rPh sb="6" eb="9">
      <t>ムコウカ</t>
    </rPh>
    <rPh sb="16" eb="17">
      <t>ツク</t>
    </rPh>
    <phoneticPr fontId="28"/>
  </si>
  <si>
    <t>マップ</t>
    <phoneticPr fontId="28"/>
  </si>
  <si>
    <t>丸いマップを作ってセンサーにひかかった敵をあぶりだすようにしたい</t>
    <phoneticPr fontId="28"/>
  </si>
  <si>
    <t>ボタン選択のSE</t>
    <rPh sb="3" eb="5">
      <t>センタク</t>
    </rPh>
    <phoneticPr fontId="28"/>
  </si>
  <si>
    <t>ボタン選択のSEを探す</t>
    <rPh sb="3" eb="5">
      <t>センタク</t>
    </rPh>
    <phoneticPr fontId="28"/>
  </si>
  <si>
    <t>ボタン選択のSEを実装</t>
    <rPh sb="3" eb="5">
      <t>センタク</t>
    </rPh>
    <phoneticPr fontId="28"/>
  </si>
  <si>
    <t>ダメージを受けるとHPが減る機能を実装</t>
    <rPh sb="5" eb="6">
      <t>ウ</t>
    </rPh>
    <rPh sb="12" eb="13">
      <t>ヘ</t>
    </rPh>
    <rPh sb="14" eb="16">
      <t>キノウ</t>
    </rPh>
    <rPh sb="17" eb="19">
      <t>ジッソウ</t>
    </rPh>
    <phoneticPr fontId="28"/>
  </si>
  <si>
    <t>弾を撃つ機能を実装</t>
    <rPh sb="2" eb="3">
      <t>ウ</t>
    </rPh>
    <rPh sb="4" eb="6">
      <t>キノウ</t>
    </rPh>
    <phoneticPr fontId="28"/>
  </si>
  <si>
    <t>敵１の見た目を探す</t>
    <rPh sb="0" eb="1">
      <t>テキ</t>
    </rPh>
    <phoneticPr fontId="28"/>
  </si>
  <si>
    <t>敵１の見た目を実装</t>
    <rPh sb="0" eb="1">
      <t>テキ</t>
    </rPh>
    <phoneticPr fontId="28"/>
  </si>
  <si>
    <t>敵の見た目</t>
    <rPh sb="0" eb="1">
      <t>テキ</t>
    </rPh>
    <rPh sb="2" eb="3">
      <t>ミ</t>
    </rPh>
    <rPh sb="4" eb="5">
      <t>メ</t>
    </rPh>
    <phoneticPr fontId="28"/>
  </si>
  <si>
    <t>敵２の見た目を探す</t>
    <rPh sb="0" eb="1">
      <t>テキ</t>
    </rPh>
    <phoneticPr fontId="28"/>
  </si>
  <si>
    <t>敵２の見た目を実装</t>
    <rPh sb="0" eb="1">
      <t>テキ</t>
    </rPh>
    <phoneticPr fontId="28"/>
  </si>
  <si>
    <t>敵１の実装</t>
    <rPh sb="0" eb="1">
      <t>テキ</t>
    </rPh>
    <phoneticPr fontId="28"/>
  </si>
  <si>
    <t>敵２の実装</t>
    <rPh sb="0" eb="1">
      <t>テキ</t>
    </rPh>
    <phoneticPr fontId="28"/>
  </si>
  <si>
    <t>敵３の見た目を探す</t>
    <rPh sb="0" eb="1">
      <t>テキ</t>
    </rPh>
    <phoneticPr fontId="28"/>
  </si>
  <si>
    <t>敵３の見た目を実装</t>
    <rPh sb="0" eb="1">
      <t>テキ</t>
    </rPh>
    <phoneticPr fontId="28"/>
  </si>
  <si>
    <t>敵３の実装</t>
    <rPh sb="0" eb="1">
      <t>テキ</t>
    </rPh>
    <phoneticPr fontId="28"/>
  </si>
  <si>
    <t>敵４の見た目を探す</t>
    <rPh sb="0" eb="1">
      <t>テキ</t>
    </rPh>
    <phoneticPr fontId="28"/>
  </si>
  <si>
    <t>敵４の見た目を実装</t>
    <rPh sb="0" eb="1">
      <t>テキ</t>
    </rPh>
    <phoneticPr fontId="28"/>
  </si>
  <si>
    <t>敵４の実装</t>
    <rPh sb="0" eb="1">
      <t>テキ</t>
    </rPh>
    <phoneticPr fontId="28"/>
  </si>
  <si>
    <t>敵５の見た目を探す</t>
    <rPh sb="0" eb="1">
      <t>テキ</t>
    </rPh>
    <phoneticPr fontId="28"/>
  </si>
  <si>
    <t>敵５の見た目を実装</t>
    <rPh sb="0" eb="1">
      <t>テキ</t>
    </rPh>
    <phoneticPr fontId="28"/>
  </si>
  <si>
    <t>敵５の実装</t>
    <rPh sb="0" eb="1">
      <t>テキ</t>
    </rPh>
    <phoneticPr fontId="28"/>
  </si>
  <si>
    <t>弾の当たり判定を実装</t>
    <rPh sb="2" eb="3">
      <t>ア</t>
    </rPh>
    <rPh sb="5" eb="7">
      <t>ハンテイ</t>
    </rPh>
    <phoneticPr fontId="28"/>
  </si>
  <si>
    <t>弾の当たり判定を実装</t>
    <rPh sb="0" eb="1">
      <t>タマ</t>
    </rPh>
    <rPh sb="2" eb="3">
      <t>ア</t>
    </rPh>
    <rPh sb="5" eb="7">
      <t>ハンテイ</t>
    </rPh>
    <rPh sb="8" eb="10">
      <t>ジッソウ</t>
    </rPh>
    <phoneticPr fontId="28"/>
  </si>
  <si>
    <t>テストプレイ①</t>
    <phoneticPr fontId="28"/>
  </si>
  <si>
    <t>テストプレイ</t>
    <phoneticPr fontId="28"/>
  </si>
  <si>
    <t>バグを見つけた場合修正</t>
    <rPh sb="3" eb="4">
      <t>ミ</t>
    </rPh>
    <rPh sb="7" eb="9">
      <t>バアイ</t>
    </rPh>
    <rPh sb="9" eb="11">
      <t>シュウセイ</t>
    </rPh>
    <phoneticPr fontId="28"/>
  </si>
  <si>
    <t>一旦UIを作りに行く</t>
    <rPh sb="0" eb="2">
      <t>イッタン</t>
    </rPh>
    <rPh sb="5" eb="6">
      <t>ツク</t>
    </rPh>
    <rPh sb="8" eb="9">
      <t>イ</t>
    </rPh>
    <phoneticPr fontId="28"/>
  </si>
  <si>
    <t>ボス</t>
    <phoneticPr fontId="28"/>
  </si>
  <si>
    <t>ボスの見た目</t>
    <rPh sb="3" eb="4">
      <t>ミ</t>
    </rPh>
    <rPh sb="5" eb="6">
      <t>メ</t>
    </rPh>
    <phoneticPr fontId="28"/>
  </si>
  <si>
    <t>ボスの見た目を探す</t>
    <phoneticPr fontId="28"/>
  </si>
  <si>
    <t>ボスの見た目を実装</t>
    <phoneticPr fontId="28"/>
  </si>
  <si>
    <t>ボスの実装</t>
    <phoneticPr fontId="28"/>
  </si>
  <si>
    <t>一定量敵が倒されるとボスが出現するギミックを実装</t>
    <rPh sb="0" eb="3">
      <t>イッテイリョウ</t>
    </rPh>
    <rPh sb="3" eb="4">
      <t>テキ</t>
    </rPh>
    <rPh sb="5" eb="6">
      <t>タオ</t>
    </rPh>
    <rPh sb="13" eb="15">
      <t>シュツゲン</t>
    </rPh>
    <rPh sb="22" eb="24">
      <t>ジッソウ</t>
    </rPh>
    <phoneticPr fontId="28"/>
  </si>
  <si>
    <t>弾幕を撃つ機能を実装</t>
    <rPh sb="0" eb="2">
      <t>ダンマク</t>
    </rPh>
    <rPh sb="3" eb="4">
      <t>ウ</t>
    </rPh>
    <rPh sb="5" eb="7">
      <t>キノウ</t>
    </rPh>
    <rPh sb="8" eb="10">
      <t>ジッソウ</t>
    </rPh>
    <phoneticPr fontId="28"/>
  </si>
  <si>
    <t>シールドを付けるのを実装</t>
    <phoneticPr fontId="28"/>
  </si>
  <si>
    <t>ボスのギミック</t>
    <phoneticPr fontId="28"/>
  </si>
  <si>
    <t>レーザービームを実装</t>
    <rPh sb="8" eb="10">
      <t>ジッソウ</t>
    </rPh>
    <phoneticPr fontId="28"/>
  </si>
  <si>
    <t>周りに雑魚敵を出す機能を実装</t>
    <rPh sb="0" eb="1">
      <t>マワ</t>
    </rPh>
    <rPh sb="3" eb="5">
      <t>ザコ</t>
    </rPh>
    <rPh sb="5" eb="6">
      <t>テキ</t>
    </rPh>
    <rPh sb="7" eb="8">
      <t>ダ</t>
    </rPh>
    <rPh sb="9" eb="11">
      <t>キノウ</t>
    </rPh>
    <rPh sb="12" eb="14">
      <t>ジッソウ</t>
    </rPh>
    <phoneticPr fontId="28"/>
  </si>
  <si>
    <t>シールドを壊すとダウンを実装</t>
    <rPh sb="5" eb="6">
      <t>コワ</t>
    </rPh>
    <rPh sb="12" eb="14">
      <t>ジッソウ</t>
    </rPh>
    <phoneticPr fontId="28"/>
  </si>
  <si>
    <t>復帰時にシールド回復を実装</t>
    <rPh sb="0" eb="3">
      <t>フッキジ</t>
    </rPh>
    <rPh sb="8" eb="10">
      <t>カイフク</t>
    </rPh>
    <rPh sb="11" eb="13">
      <t>ジッソウ</t>
    </rPh>
    <phoneticPr fontId="28"/>
  </si>
  <si>
    <t>ボス討伐時にクリアへ移動</t>
    <rPh sb="2" eb="5">
      <t>トウバツジ</t>
    </rPh>
    <rPh sb="10" eb="12">
      <t>イドウ</t>
    </rPh>
    <phoneticPr fontId="28"/>
  </si>
  <si>
    <t>ボスの体力バーを実装</t>
    <rPh sb="3" eb="5">
      <t>タイリョク</t>
    </rPh>
    <rPh sb="8" eb="10">
      <t>ジッソウ</t>
    </rPh>
    <phoneticPr fontId="28"/>
  </si>
  <si>
    <t>ボスの名前を実装</t>
    <rPh sb="3" eb="5">
      <t>ナマエ</t>
    </rPh>
    <rPh sb="6" eb="8">
      <t>ジッソウ</t>
    </rPh>
    <phoneticPr fontId="28"/>
  </si>
  <si>
    <t>体力が削れる機能を実装</t>
    <rPh sb="0" eb="2">
      <t>タイリョク</t>
    </rPh>
    <rPh sb="3" eb="4">
      <t>ケズ</t>
    </rPh>
    <rPh sb="6" eb="8">
      <t>キノウ</t>
    </rPh>
    <rPh sb="9" eb="11">
      <t>ジッソウ</t>
    </rPh>
    <phoneticPr fontId="28"/>
  </si>
  <si>
    <t>テストプレイ②</t>
    <phoneticPr fontId="28"/>
  </si>
  <si>
    <t>テストプレイ③</t>
    <phoneticPr fontId="28"/>
  </si>
  <si>
    <t>バグを見つけた場合修正</t>
    <phoneticPr fontId="2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</si>
</sst>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2" x14ac:knownFonts="1">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b/>
      <sz val="11"/>
      <color theme="1"/>
      <name val="Meiryo UI"/>
      <family val="3"/>
      <charset val="128"/>
    </font>
    <font>
      <b/>
      <sz val="11"/>
      <color theme="0"/>
      <name val="Meiryo UI"/>
      <family val="3"/>
      <charset val="128"/>
    </font>
    <font>
      <b/>
      <i/>
      <sz val="11"/>
      <color theme="1"/>
      <name val="Meiryo UI"/>
      <family val="3"/>
      <charset val="128"/>
    </font>
  </fonts>
  <fills count="39">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8" borderId="0" applyNumberFormat="0" applyBorder="0" applyAlignment="0" applyProtection="0"/>
    <xf numFmtId="0" fontId="3" fillId="9" borderId="0" applyNumberFormat="0" applyBorder="0" applyAlignment="0" applyProtection="0"/>
    <xf numFmtId="0" fontId="14" fillId="10" borderId="0" applyNumberFormat="0" applyBorder="0" applyAlignment="0" applyProtection="0"/>
    <xf numFmtId="0" fontId="12" fillId="11" borderId="11" applyNumberFormat="0" applyAlignment="0" applyProtection="0"/>
    <xf numFmtId="0" fontId="15" fillId="12" borderId="12" applyNumberFormat="0" applyAlignment="0" applyProtection="0"/>
    <xf numFmtId="0" fontId="4" fillId="12" borderId="11" applyNumberFormat="0" applyAlignment="0" applyProtection="0"/>
    <xf numFmtId="0" fontId="13" fillId="0" borderId="13" applyNumberFormat="0" applyFill="0" applyAlignment="0" applyProtection="0"/>
    <xf numFmtId="0" fontId="5" fillId="13" borderId="14" applyNumberFormat="0" applyAlignment="0" applyProtection="0"/>
    <xf numFmtId="0" fontId="18" fillId="0" borderId="0" applyNumberFormat="0" applyFill="0" applyBorder="0" applyAlignment="0" applyProtection="0"/>
    <xf numFmtId="0" fontId="1" fillId="14"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2" fillId="19" borderId="0" applyNumberFormat="0" applyBorder="0" applyAlignment="0" applyProtection="0"/>
    <xf numFmtId="0" fontId="1"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2"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2"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2" fillId="31" borderId="0" applyNumberFormat="0" applyBorder="0" applyAlignment="0" applyProtection="0"/>
    <xf numFmtId="0" fontId="1"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2"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38" borderId="0" applyNumberFormat="0" applyBorder="0" applyAlignment="0" applyProtection="0"/>
  </cellStyleXfs>
  <cellXfs count="87">
    <xf numFmtId="0" fontId="0" fillId="0" borderId="0" xfId="0"/>
    <xf numFmtId="0" fontId="0" fillId="0" borderId="0" xfId="0" applyAlignment="1">
      <alignment vertical="center"/>
    </xf>
    <xf numFmtId="0" fontId="0" fillId="0" borderId="0" xfId="0" applyAlignment="1">
      <alignment horizont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9" fillId="0" borderId="0" xfId="6"/>
    <xf numFmtId="0" fontId="9" fillId="0" borderId="0" xfId="7">
      <alignment vertical="top"/>
    </xf>
    <xf numFmtId="0" fontId="1" fillId="5" borderId="2" xfId="11" applyFill="1">
      <alignment horizontal="center" vertical="center"/>
    </xf>
    <xf numFmtId="0" fontId="1" fillId="2" borderId="2" xfId="11" applyFill="1">
      <alignment horizontal="center" vertical="center"/>
    </xf>
    <xf numFmtId="0" fontId="1" fillId="3" borderId="2" xfId="11" applyFill="1">
      <alignment horizontal="center" vertical="center"/>
    </xf>
    <xf numFmtId="0" fontId="1" fillId="2" borderId="2" xfId="12" applyFill="1">
      <alignment horizontal="left" vertical="center" indent="2"/>
    </xf>
    <xf numFmtId="0" fontId="1" fillId="3" borderId="2" xfId="12" applyFill="1">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7" borderId="1" xfId="0" applyFont="1" applyFill="1" applyBorder="1" applyAlignment="1">
      <alignment horizontal="left" vertical="center" indent="1"/>
    </xf>
    <xf numFmtId="0" fontId="23" fillId="7" borderId="1" xfId="0" applyFont="1" applyFill="1" applyBorder="1" applyAlignment="1">
      <alignment horizontal="center" vertical="center" wrapText="1"/>
    </xf>
    <xf numFmtId="0" fontId="24" fillId="6" borderId="8" xfId="0" applyFont="1" applyFill="1" applyBorder="1" applyAlignment="1">
      <alignment horizontal="center" vertical="center" shrinkToFit="1"/>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0" fontId="25" fillId="0" borderId="2" xfId="0" applyFont="1" applyBorder="1" applyAlignment="1">
      <alignment horizontal="center" vertical="center"/>
    </xf>
    <xf numFmtId="9" fontId="25" fillId="2" borderId="2" xfId="2" applyFont="1" applyFill="1" applyBorder="1" applyAlignment="1">
      <alignment horizontal="center" vertical="center"/>
    </xf>
    <xf numFmtId="9" fontId="25" fillId="3" borderId="2" xfId="2" applyFont="1" applyFill="1" applyBorder="1" applyAlignment="1">
      <alignment horizontal="center" vertical="center"/>
    </xf>
    <xf numFmtId="0" fontId="27" fillId="0" borderId="0" xfId="0" applyFont="1"/>
    <xf numFmtId="0" fontId="2" fillId="0" borderId="0" xfId="0" applyFont="1" applyAlignment="1">
      <alignment horizontal="center"/>
    </xf>
    <xf numFmtId="0" fontId="26" fillId="0" borderId="0" xfId="1" applyFont="1" applyAlignment="1" applyProtection="1"/>
    <xf numFmtId="0" fontId="29" fillId="0" borderId="0" xfId="0" applyFont="1" applyAlignment="1">
      <alignment vertical="top"/>
    </xf>
    <xf numFmtId="0" fontId="29" fillId="0" borderId="0" xfId="0" applyFont="1"/>
    <xf numFmtId="0" fontId="30" fillId="0" borderId="0" xfId="0" applyFont="1" applyAlignment="1">
      <alignment horizontal="left" vertical="center"/>
    </xf>
    <xf numFmtId="0" fontId="31" fillId="0" borderId="0" xfId="0" applyFont="1" applyAlignment="1">
      <alignment horizontal="left" vertical="center"/>
    </xf>
    <xf numFmtId="0" fontId="32" fillId="0" borderId="0" xfId="0" applyFont="1" applyAlignment="1">
      <alignment vertical="top"/>
    </xf>
    <xf numFmtId="0" fontId="33" fillId="0" borderId="0" xfId="0" applyFont="1" applyAlignment="1">
      <alignment vertical="top"/>
    </xf>
    <xf numFmtId="0" fontId="29" fillId="0" borderId="0" xfId="0" applyFont="1" applyAlignment="1">
      <alignment horizontal="left" vertical="top"/>
    </xf>
    <xf numFmtId="0" fontId="34" fillId="0" borderId="0" xfId="0" applyFont="1" applyAlignment="1">
      <alignment vertical="center"/>
    </xf>
    <xf numFmtId="0" fontId="35" fillId="0" borderId="0" xfId="0" applyFont="1"/>
    <xf numFmtId="0" fontId="36" fillId="0" borderId="0" xfId="0" applyFont="1" applyAlignment="1">
      <alignment horizontal="left" vertical="top" wrapText="1" indent="1"/>
    </xf>
    <xf numFmtId="0" fontId="37" fillId="0" borderId="0" xfId="0" applyFont="1" applyAlignment="1">
      <alignment vertical="top" wrapText="1"/>
    </xf>
    <xf numFmtId="0" fontId="38" fillId="0" borderId="0" xfId="1" applyFont="1" applyAlignment="1" applyProtection="1">
      <alignment horizontal="left" vertical="top"/>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2" borderId="2" xfId="10" applyNumberFormat="1" applyFill="1">
      <alignment horizontal="center" vertical="center"/>
    </xf>
    <xf numFmtId="178" fontId="1" fillId="3" borderId="2" xfId="10" applyNumberFormat="1" applyFill="1">
      <alignment horizontal="center" vertical="center"/>
    </xf>
    <xf numFmtId="180" fontId="22" fillId="4" borderId="6" xfId="0" applyNumberFormat="1" applyFont="1" applyFill="1" applyBorder="1" applyAlignment="1">
      <alignment horizontal="center" vertical="center"/>
    </xf>
    <xf numFmtId="180" fontId="22" fillId="4" borderId="0" xfId="0" applyNumberFormat="1" applyFont="1" applyFill="1" applyAlignment="1">
      <alignment horizontal="center" vertical="center"/>
    </xf>
    <xf numFmtId="180" fontId="22" fillId="4" borderId="7" xfId="0" applyNumberFormat="1" applyFont="1" applyFill="1" applyBorder="1" applyAlignment="1">
      <alignment horizontal="center" vertical="center"/>
    </xf>
    <xf numFmtId="0" fontId="1" fillId="18" borderId="2" xfId="33" applyBorder="1" applyAlignment="1">
      <alignment horizontal="center" vertical="center"/>
    </xf>
    <xf numFmtId="9" fontId="1" fillId="18" borderId="2" xfId="33" applyNumberFormat="1" applyBorder="1" applyAlignment="1">
      <alignment horizontal="center" vertical="center"/>
    </xf>
    <xf numFmtId="178" fontId="1" fillId="18" borderId="2" xfId="33" applyNumberFormat="1" applyBorder="1" applyAlignment="1">
      <alignment horizontal="center" vertical="center"/>
    </xf>
    <xf numFmtId="0" fontId="39" fillId="18" borderId="2" xfId="33" applyFont="1" applyBorder="1" applyAlignment="1">
      <alignment horizontal="left" vertical="center" indent="1"/>
    </xf>
    <xf numFmtId="0" fontId="2" fillId="15" borderId="2" xfId="30" applyBorder="1" applyAlignment="1">
      <alignment horizontal="center" vertical="center"/>
    </xf>
    <xf numFmtId="9" fontId="2" fillId="15" borderId="2" xfId="30" applyNumberFormat="1" applyBorder="1" applyAlignment="1">
      <alignment horizontal="center" vertical="center"/>
    </xf>
    <xf numFmtId="178" fontId="2" fillId="15" borderId="2" xfId="30" applyNumberFormat="1" applyBorder="1" applyAlignment="1">
      <alignment horizontal="center" vertical="center"/>
    </xf>
    <xf numFmtId="0" fontId="40" fillId="15" borderId="2" xfId="30" applyFont="1" applyBorder="1" applyAlignment="1">
      <alignment horizontal="left" vertical="center" indent="1"/>
    </xf>
    <xf numFmtId="0" fontId="1" fillId="2" borderId="2" xfId="12" applyFill="1" applyAlignment="1">
      <alignment horizontal="left" vertical="center" wrapText="1" indent="2"/>
    </xf>
    <xf numFmtId="0" fontId="2" fillId="19" borderId="2" xfId="34" applyBorder="1" applyAlignment="1">
      <alignment horizontal="left" vertical="center" indent="1"/>
    </xf>
    <xf numFmtId="0" fontId="2" fillId="19" borderId="2" xfId="34" applyBorder="1" applyAlignment="1">
      <alignment horizontal="center" vertical="center"/>
    </xf>
    <xf numFmtId="9" fontId="2" fillId="19" borderId="2" xfId="34" applyNumberFormat="1" applyBorder="1" applyAlignment="1">
      <alignment horizontal="center" vertical="center"/>
    </xf>
    <xf numFmtId="178" fontId="2" fillId="19" borderId="2" xfId="34" applyNumberFormat="1" applyBorder="1" applyAlignment="1">
      <alignment horizontal="center" vertical="center"/>
    </xf>
    <xf numFmtId="0" fontId="1" fillId="22" borderId="2" xfId="37" applyBorder="1" applyAlignment="1">
      <alignment horizontal="center" vertical="center"/>
    </xf>
    <xf numFmtId="9" fontId="1" fillId="22" borderId="2" xfId="37" applyNumberFormat="1" applyBorder="1" applyAlignment="1">
      <alignment horizontal="center" vertical="center"/>
    </xf>
    <xf numFmtId="178" fontId="1" fillId="22" borderId="2" xfId="37" applyNumberFormat="1" applyBorder="1" applyAlignment="1">
      <alignment horizontal="center" vertical="center"/>
    </xf>
    <xf numFmtId="0" fontId="41" fillId="22" borderId="2" xfId="37" applyFont="1" applyBorder="1" applyAlignment="1">
      <alignment horizontal="left" vertical="center" indent="1"/>
    </xf>
    <xf numFmtId="0" fontId="1" fillId="21" borderId="2" xfId="36" applyBorder="1" applyAlignment="1">
      <alignment horizontal="center" vertical="center"/>
    </xf>
    <xf numFmtId="9" fontId="1" fillId="21" borderId="2" xfId="36" applyNumberFormat="1" applyBorder="1" applyAlignment="1">
      <alignment horizontal="center" vertical="center"/>
    </xf>
    <xf numFmtId="178" fontId="1" fillId="21" borderId="2" xfId="36" applyNumberFormat="1" applyBorder="1" applyAlignment="1">
      <alignment horizontal="center" vertical="center"/>
    </xf>
    <xf numFmtId="0" fontId="39" fillId="21" borderId="2" xfId="36" applyFont="1" applyBorder="1" applyAlignment="1">
      <alignment horizontal="left" vertical="center" indent="1"/>
    </xf>
    <xf numFmtId="0" fontId="1" fillId="3" borderId="2" xfId="12" applyFill="1" applyAlignment="1">
      <alignment horizontal="left" vertical="center" wrapText="1" indent="2"/>
    </xf>
    <xf numFmtId="0" fontId="39" fillId="21" borderId="2" xfId="36" applyFont="1" applyBorder="1" applyAlignment="1">
      <alignment horizontal="left" vertical="center" wrapText="1" indent="1"/>
    </xf>
    <xf numFmtId="0" fontId="0" fillId="2" borderId="2" xfId="12" applyFont="1" applyFill="1" applyAlignment="1">
      <alignment horizontal="left" vertical="center" wrapText="1" indent="2"/>
    </xf>
    <xf numFmtId="178" fontId="0" fillId="2" borderId="2" xfId="10" applyNumberFormat="1" applyFont="1" applyFill="1">
      <alignment horizontal="center" vertical="center"/>
    </xf>
    <xf numFmtId="0" fontId="0" fillId="3" borderId="2" xfId="12" applyFont="1" applyFill="1">
      <alignment horizontal="left" vertical="center" indent="2"/>
    </xf>
    <xf numFmtId="0" fontId="0" fillId="3" borderId="2" xfId="12" applyFont="1" applyFill="1" applyAlignment="1">
      <alignment horizontal="left" vertical="center" wrapText="1" indent="2"/>
    </xf>
    <xf numFmtId="14" fontId="0" fillId="4" borderId="4" xfId="0" applyNumberFormat="1" applyFill="1" applyBorder="1" applyAlignment="1">
      <alignment horizontal="left" vertical="center" wrapText="1" indent="1"/>
    </xf>
    <xf numFmtId="14" fontId="0" fillId="4" borderId="1" xfId="0" applyNumberFormat="1" applyFill="1" applyBorder="1" applyAlignment="1">
      <alignment horizontal="left" vertical="center" wrapText="1" indent="1"/>
    </xf>
    <xf numFmtId="14" fontId="0" fillId="4" borderId="5" xfId="0" applyNumberFormat="1" applyFill="1" applyBorder="1" applyAlignment="1">
      <alignment horizontal="left" vertical="center" wrapText="1" indent="1"/>
    </xf>
    <xf numFmtId="0" fontId="1" fillId="0" borderId="0" xfId="8">
      <alignment horizontal="right" indent="1"/>
    </xf>
    <xf numFmtId="0" fontId="1" fillId="0" borderId="7" xfId="8" applyBorder="1">
      <alignment horizontal="right" indent="1"/>
    </xf>
    <xf numFmtId="179" fontId="1" fillId="0" borderId="3" xfId="9" applyNumberFormat="1">
      <alignment horizontal="center" vertical="center"/>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4"/>
      <tableStyleElement type="headerRow" dxfId="13"/>
      <tableStyleElement type="totalRow" dxfId="12"/>
      <tableStyleElement type="firstColumn" dxfId="11"/>
      <tableStyleElement type="lastColumn" dxfId="10"/>
      <tableStyleElement type="firstRowStripe" dxfId="9"/>
      <tableStyleElement type="secondRowStripe" dxfId="8"/>
      <tableStyleElement type="firstColumnStripe" dxfId="7"/>
      <tableStyleElement type="secondColumn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xdr:from>
      <xdr:col>6</xdr:col>
      <xdr:colOff>30480</xdr:colOff>
      <xdr:row>10</xdr:row>
      <xdr:rowOff>182880</xdr:rowOff>
    </xdr:from>
    <xdr:to>
      <xdr:col>8</xdr:col>
      <xdr:colOff>45720</xdr:colOff>
      <xdr:row>12</xdr:row>
      <xdr:rowOff>297180</xdr:rowOff>
    </xdr:to>
    <xdr:sp macro="" textlink="">
      <xdr:nvSpPr>
        <xdr:cNvPr id="156" name="矢印: 折線 155">
          <a:extLst>
            <a:ext uri="{FF2B5EF4-FFF2-40B4-BE49-F238E27FC236}">
              <a16:creationId xmlns:a16="http://schemas.microsoft.com/office/drawing/2014/main" id="{D9464D1C-6103-4F16-81E5-29128FF2909C}"/>
            </a:ext>
          </a:extLst>
        </xdr:cNvPr>
        <xdr:cNvSpPr>
          <a:spLocks/>
        </xdr:cNvSpPr>
      </xdr:nvSpPr>
      <xdr:spPr>
        <a:xfrm rot="10800000" flipH="1">
          <a:off x="7056120" y="3421380"/>
          <a:ext cx="228600" cy="8763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11</xdr:row>
      <xdr:rowOff>137160</xdr:rowOff>
    </xdr:from>
    <xdr:to>
      <xdr:col>8</xdr:col>
      <xdr:colOff>152400</xdr:colOff>
      <xdr:row>12</xdr:row>
      <xdr:rowOff>213360</xdr:rowOff>
    </xdr:to>
    <xdr:sp macro="" textlink="">
      <xdr:nvSpPr>
        <xdr:cNvPr id="157" name="矢印: 折線 156">
          <a:extLst>
            <a:ext uri="{FF2B5EF4-FFF2-40B4-BE49-F238E27FC236}">
              <a16:creationId xmlns:a16="http://schemas.microsoft.com/office/drawing/2014/main" id="{A2FC3DC8-1BC6-45AD-9CFE-7FB43B828A61}"/>
            </a:ext>
          </a:extLst>
        </xdr:cNvPr>
        <xdr:cNvSpPr>
          <a:spLocks/>
        </xdr:cNvSpPr>
      </xdr:nvSpPr>
      <xdr:spPr>
        <a:xfrm rot="10800000" flipH="1">
          <a:off x="7147560" y="3756660"/>
          <a:ext cx="243840" cy="45720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114300</xdr:colOff>
      <xdr:row>12</xdr:row>
      <xdr:rowOff>190500</xdr:rowOff>
    </xdr:from>
    <xdr:to>
      <xdr:col>9</xdr:col>
      <xdr:colOff>91440</xdr:colOff>
      <xdr:row>14</xdr:row>
      <xdr:rowOff>259080</xdr:rowOff>
    </xdr:to>
    <xdr:sp macro="" textlink="">
      <xdr:nvSpPr>
        <xdr:cNvPr id="158" name="矢印: 折線 157">
          <a:extLst>
            <a:ext uri="{FF2B5EF4-FFF2-40B4-BE49-F238E27FC236}">
              <a16:creationId xmlns:a16="http://schemas.microsoft.com/office/drawing/2014/main" id="{D5529A79-8C60-4B45-9EB3-A5B92F65100B}"/>
            </a:ext>
          </a:extLst>
        </xdr:cNvPr>
        <xdr:cNvSpPr>
          <a:spLocks/>
        </xdr:cNvSpPr>
      </xdr:nvSpPr>
      <xdr:spPr>
        <a:xfrm rot="10800000">
          <a:off x="7353300" y="4191000"/>
          <a:ext cx="182880" cy="83058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0</xdr:colOff>
      <xdr:row>12</xdr:row>
      <xdr:rowOff>213360</xdr:rowOff>
    </xdr:from>
    <xdr:to>
      <xdr:col>9</xdr:col>
      <xdr:colOff>175260</xdr:colOff>
      <xdr:row>15</xdr:row>
      <xdr:rowOff>228600</xdr:rowOff>
    </xdr:to>
    <xdr:sp macro="" textlink="">
      <xdr:nvSpPr>
        <xdr:cNvPr id="159" name="矢印: 折線 158">
          <a:extLst>
            <a:ext uri="{FF2B5EF4-FFF2-40B4-BE49-F238E27FC236}">
              <a16:creationId xmlns:a16="http://schemas.microsoft.com/office/drawing/2014/main" id="{80F4A89E-7EA5-40F4-AD4F-D8733183A1E7}"/>
            </a:ext>
          </a:extLst>
        </xdr:cNvPr>
        <xdr:cNvSpPr>
          <a:spLocks/>
        </xdr:cNvSpPr>
      </xdr:nvSpPr>
      <xdr:spPr>
        <a:xfrm rot="10800000">
          <a:off x="7444740" y="4213860"/>
          <a:ext cx="175260" cy="115824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121920</xdr:colOff>
      <xdr:row>14</xdr:row>
      <xdr:rowOff>190500</xdr:rowOff>
    </xdr:from>
    <xdr:to>
      <xdr:col>9</xdr:col>
      <xdr:colOff>30480</xdr:colOff>
      <xdr:row>17</xdr:row>
      <xdr:rowOff>251460</xdr:rowOff>
    </xdr:to>
    <xdr:sp macro="" textlink="">
      <xdr:nvSpPr>
        <xdr:cNvPr id="160" name="矢印: 折線 159">
          <a:extLst>
            <a:ext uri="{FF2B5EF4-FFF2-40B4-BE49-F238E27FC236}">
              <a16:creationId xmlns:a16="http://schemas.microsoft.com/office/drawing/2014/main" id="{01E5862D-927C-4E91-960E-2A4BB53F4EFE}"/>
            </a:ext>
          </a:extLst>
        </xdr:cNvPr>
        <xdr:cNvSpPr>
          <a:spLocks/>
        </xdr:cNvSpPr>
      </xdr:nvSpPr>
      <xdr:spPr>
        <a:xfrm rot="10800000" flipH="1">
          <a:off x="7147560" y="4953000"/>
          <a:ext cx="327660" cy="12039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22858</xdr:colOff>
      <xdr:row>12</xdr:row>
      <xdr:rowOff>99069</xdr:rowOff>
    </xdr:from>
    <xdr:to>
      <xdr:col>12</xdr:col>
      <xdr:colOff>182880</xdr:colOff>
      <xdr:row>22</xdr:row>
      <xdr:rowOff>274323</xdr:rowOff>
    </xdr:to>
    <xdr:sp macro="" textlink="">
      <xdr:nvSpPr>
        <xdr:cNvPr id="161" name="矢印: 折線 160">
          <a:extLst>
            <a:ext uri="{FF2B5EF4-FFF2-40B4-BE49-F238E27FC236}">
              <a16:creationId xmlns:a16="http://schemas.microsoft.com/office/drawing/2014/main" id="{781C0757-73C3-4D37-A846-C326368C764A}"/>
            </a:ext>
          </a:extLst>
        </xdr:cNvPr>
        <xdr:cNvSpPr>
          <a:spLocks/>
        </xdr:cNvSpPr>
      </xdr:nvSpPr>
      <xdr:spPr>
        <a:xfrm rot="5400000">
          <a:off x="5863592" y="5703575"/>
          <a:ext cx="3985254" cy="777242"/>
        </a:xfrm>
        <a:prstGeom prst="bentArrow">
          <a:avLst>
            <a:gd name="adj1" fmla="val 2279"/>
            <a:gd name="adj2" fmla="val 10464"/>
            <a:gd name="adj3" fmla="val 1515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28823</xdr:colOff>
      <xdr:row>21</xdr:row>
      <xdr:rowOff>131527</xdr:rowOff>
    </xdr:from>
    <xdr:to>
      <xdr:col>10</xdr:col>
      <xdr:colOff>59635</xdr:colOff>
      <xdr:row>23</xdr:row>
      <xdr:rowOff>238539</xdr:rowOff>
    </xdr:to>
    <xdr:sp macro="" textlink="">
      <xdr:nvSpPr>
        <xdr:cNvPr id="162" name="矢印: 折線 161">
          <a:extLst>
            <a:ext uri="{FF2B5EF4-FFF2-40B4-BE49-F238E27FC236}">
              <a16:creationId xmlns:a16="http://schemas.microsoft.com/office/drawing/2014/main" id="{329BD083-07BF-4A19-8AEE-C2C6FCD9FFC9}"/>
            </a:ext>
          </a:extLst>
        </xdr:cNvPr>
        <xdr:cNvSpPr>
          <a:spLocks/>
        </xdr:cNvSpPr>
      </xdr:nvSpPr>
      <xdr:spPr>
        <a:xfrm rot="10800000" flipH="1">
          <a:off x="7469919" y="7625631"/>
          <a:ext cx="236220" cy="875638"/>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xdr:col>
      <xdr:colOff>137160</xdr:colOff>
      <xdr:row>20</xdr:row>
      <xdr:rowOff>182880</xdr:rowOff>
    </xdr:from>
    <xdr:to>
      <xdr:col>10</xdr:col>
      <xdr:colOff>7620</xdr:colOff>
      <xdr:row>23</xdr:row>
      <xdr:rowOff>190500</xdr:rowOff>
    </xdr:to>
    <xdr:sp macro="" textlink="">
      <xdr:nvSpPr>
        <xdr:cNvPr id="163" name="矢印: 折線 162">
          <a:extLst>
            <a:ext uri="{FF2B5EF4-FFF2-40B4-BE49-F238E27FC236}">
              <a16:creationId xmlns:a16="http://schemas.microsoft.com/office/drawing/2014/main" id="{8E5B9485-710F-4FB8-B860-DD2DFD28C92E}"/>
            </a:ext>
          </a:extLst>
        </xdr:cNvPr>
        <xdr:cNvSpPr>
          <a:spLocks/>
        </xdr:cNvSpPr>
      </xdr:nvSpPr>
      <xdr:spPr>
        <a:xfrm rot="10800000" flipH="1">
          <a:off x="7376160" y="7231380"/>
          <a:ext cx="281940" cy="115062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xdr:col>
      <xdr:colOff>182880</xdr:colOff>
      <xdr:row>19</xdr:row>
      <xdr:rowOff>129540</xdr:rowOff>
    </xdr:from>
    <xdr:to>
      <xdr:col>10</xdr:col>
      <xdr:colOff>30480</xdr:colOff>
      <xdr:row>24</xdr:row>
      <xdr:rowOff>0</xdr:rowOff>
    </xdr:to>
    <xdr:sp macro="" textlink="">
      <xdr:nvSpPr>
        <xdr:cNvPr id="164" name="矢印: 折線 163">
          <a:extLst>
            <a:ext uri="{FF2B5EF4-FFF2-40B4-BE49-F238E27FC236}">
              <a16:creationId xmlns:a16="http://schemas.microsoft.com/office/drawing/2014/main" id="{0D586EBF-9949-4C20-BC59-AB7EFC0701C8}"/>
            </a:ext>
          </a:extLst>
        </xdr:cNvPr>
        <xdr:cNvSpPr>
          <a:spLocks/>
        </xdr:cNvSpPr>
      </xdr:nvSpPr>
      <xdr:spPr>
        <a:xfrm rot="10800000" flipH="1">
          <a:off x="7208520" y="6797040"/>
          <a:ext cx="472440" cy="1775460"/>
        </a:xfrm>
        <a:prstGeom prst="bentArrow">
          <a:avLst>
            <a:gd name="adj1" fmla="val 13134"/>
            <a:gd name="adj2" fmla="val 2500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xdr:col>
      <xdr:colOff>38100</xdr:colOff>
      <xdr:row>25</xdr:row>
      <xdr:rowOff>152400</xdr:rowOff>
    </xdr:from>
    <xdr:to>
      <xdr:col>16</xdr:col>
      <xdr:colOff>0</xdr:colOff>
      <xdr:row>32</xdr:row>
      <xdr:rowOff>30480</xdr:rowOff>
    </xdr:to>
    <xdr:sp macro="" textlink="">
      <xdr:nvSpPr>
        <xdr:cNvPr id="165" name="矢印: 折線 164">
          <a:extLst>
            <a:ext uri="{FF2B5EF4-FFF2-40B4-BE49-F238E27FC236}">
              <a16:creationId xmlns:a16="http://schemas.microsoft.com/office/drawing/2014/main" id="{292E4F84-5549-4228-8F27-9E796545A3CB}"/>
            </a:ext>
          </a:extLst>
        </xdr:cNvPr>
        <xdr:cNvSpPr>
          <a:spLocks/>
        </xdr:cNvSpPr>
      </xdr:nvSpPr>
      <xdr:spPr>
        <a:xfrm rot="10800000" flipH="1">
          <a:off x="7688580" y="9105900"/>
          <a:ext cx="1196340" cy="2545080"/>
        </a:xfrm>
        <a:prstGeom prst="bentArrow">
          <a:avLst>
            <a:gd name="adj1" fmla="val 4277"/>
            <a:gd name="adj2" fmla="val 9053"/>
            <a:gd name="adj3" fmla="val 1284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190500</xdr:colOff>
      <xdr:row>28</xdr:row>
      <xdr:rowOff>76200</xdr:rowOff>
    </xdr:from>
    <xdr:to>
      <xdr:col>15</xdr:col>
      <xdr:colOff>182880</xdr:colOff>
      <xdr:row>33</xdr:row>
      <xdr:rowOff>22860</xdr:rowOff>
    </xdr:to>
    <xdr:sp macro="" textlink="">
      <xdr:nvSpPr>
        <xdr:cNvPr id="166" name="矢印: 折線 165">
          <a:extLst>
            <a:ext uri="{FF2B5EF4-FFF2-40B4-BE49-F238E27FC236}">
              <a16:creationId xmlns:a16="http://schemas.microsoft.com/office/drawing/2014/main" id="{73F69877-B7CB-488F-8D9D-8A986F1ACB0C}"/>
            </a:ext>
          </a:extLst>
        </xdr:cNvPr>
        <xdr:cNvSpPr>
          <a:spLocks/>
        </xdr:cNvSpPr>
      </xdr:nvSpPr>
      <xdr:spPr>
        <a:xfrm rot="10800000" flipH="1">
          <a:off x="8046720" y="10172700"/>
          <a:ext cx="815340" cy="185166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144780</xdr:colOff>
      <xdr:row>29</xdr:row>
      <xdr:rowOff>140970</xdr:rowOff>
    </xdr:from>
    <xdr:to>
      <xdr:col>15</xdr:col>
      <xdr:colOff>0</xdr:colOff>
      <xdr:row>30</xdr:row>
      <xdr:rowOff>38100</xdr:rowOff>
    </xdr:to>
    <xdr:sp macro="" textlink="">
      <xdr:nvSpPr>
        <xdr:cNvPr id="168" name="矢印: 折線 167">
          <a:extLst>
            <a:ext uri="{FF2B5EF4-FFF2-40B4-BE49-F238E27FC236}">
              <a16:creationId xmlns:a16="http://schemas.microsoft.com/office/drawing/2014/main" id="{DB7528BC-D4F7-4571-9E1A-642D6FA8A868}"/>
            </a:ext>
          </a:extLst>
        </xdr:cNvPr>
        <xdr:cNvSpPr>
          <a:spLocks/>
        </xdr:cNvSpPr>
      </xdr:nvSpPr>
      <xdr:spPr>
        <a:xfrm rot="16200000" flipH="1">
          <a:off x="8201025" y="1041844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160020</xdr:colOff>
      <xdr:row>30</xdr:row>
      <xdr:rowOff>163830</xdr:rowOff>
    </xdr:from>
    <xdr:to>
      <xdr:col>15</xdr:col>
      <xdr:colOff>7620</xdr:colOff>
      <xdr:row>31</xdr:row>
      <xdr:rowOff>38100</xdr:rowOff>
    </xdr:to>
    <xdr:sp macro="" textlink="">
      <xdr:nvSpPr>
        <xdr:cNvPr id="169" name="矢印: 折線 168">
          <a:extLst>
            <a:ext uri="{FF2B5EF4-FFF2-40B4-BE49-F238E27FC236}">
              <a16:creationId xmlns:a16="http://schemas.microsoft.com/office/drawing/2014/main" id="{9F2038BF-A3F6-439A-97F2-B14022575BFC}"/>
            </a:ext>
          </a:extLst>
        </xdr:cNvPr>
        <xdr:cNvSpPr>
          <a:spLocks/>
        </xdr:cNvSpPr>
      </xdr:nvSpPr>
      <xdr:spPr>
        <a:xfrm rot="16200000" flipH="1">
          <a:off x="8223885" y="10814685"/>
          <a:ext cx="255270" cy="6705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xdr:col>
      <xdr:colOff>134840</xdr:colOff>
      <xdr:row>22</xdr:row>
      <xdr:rowOff>139148</xdr:rowOff>
    </xdr:from>
    <xdr:to>
      <xdr:col>10</xdr:col>
      <xdr:colOff>165652</xdr:colOff>
      <xdr:row>23</xdr:row>
      <xdr:rowOff>251791</xdr:rowOff>
    </xdr:to>
    <xdr:sp macro="" textlink="">
      <xdr:nvSpPr>
        <xdr:cNvPr id="171" name="矢印: 折線 170">
          <a:extLst>
            <a:ext uri="{FF2B5EF4-FFF2-40B4-BE49-F238E27FC236}">
              <a16:creationId xmlns:a16="http://schemas.microsoft.com/office/drawing/2014/main" id="{E9A04BD6-8513-4705-B3F4-DD1AF8B98FA9}"/>
            </a:ext>
          </a:extLst>
        </xdr:cNvPr>
        <xdr:cNvSpPr>
          <a:spLocks/>
        </xdr:cNvSpPr>
      </xdr:nvSpPr>
      <xdr:spPr>
        <a:xfrm rot="10800000" flipH="1">
          <a:off x="7575936" y="8017565"/>
          <a:ext cx="236220" cy="496956"/>
        </a:xfrm>
        <a:prstGeom prst="bentArrow">
          <a:avLst>
            <a:gd name="adj1" fmla="val 13134"/>
            <a:gd name="adj2" fmla="val 25000"/>
            <a:gd name="adj3" fmla="val 13462"/>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11</xdr:col>
      <xdr:colOff>152400</xdr:colOff>
      <xdr:row>28</xdr:row>
      <xdr:rowOff>72390</xdr:rowOff>
    </xdr:from>
    <xdr:to>
      <xdr:col>15</xdr:col>
      <xdr:colOff>7620</xdr:colOff>
      <xdr:row>28</xdr:row>
      <xdr:rowOff>350520</xdr:rowOff>
    </xdr:to>
    <xdr:sp macro="" textlink="">
      <xdr:nvSpPr>
        <xdr:cNvPr id="172" name="矢印: 折線 171">
          <a:extLst>
            <a:ext uri="{FF2B5EF4-FFF2-40B4-BE49-F238E27FC236}">
              <a16:creationId xmlns:a16="http://schemas.microsoft.com/office/drawing/2014/main" id="{DAA483E1-89C4-445A-B5B0-D92FC8628EEE}"/>
            </a:ext>
          </a:extLst>
        </xdr:cNvPr>
        <xdr:cNvSpPr>
          <a:spLocks/>
        </xdr:cNvSpPr>
      </xdr:nvSpPr>
      <xdr:spPr>
        <a:xfrm rot="16200000" flipH="1">
          <a:off x="8208645" y="9968865"/>
          <a:ext cx="278130" cy="678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38100</xdr:colOff>
      <xdr:row>49</xdr:row>
      <xdr:rowOff>198119</xdr:rowOff>
    </xdr:from>
    <xdr:to>
      <xdr:col>19</xdr:col>
      <xdr:colOff>13335</xdr:colOff>
      <xdr:row>53</xdr:row>
      <xdr:rowOff>318134</xdr:rowOff>
    </xdr:to>
    <xdr:sp macro="" textlink="">
      <xdr:nvSpPr>
        <xdr:cNvPr id="173" name="矢印: 折線 172">
          <a:extLst>
            <a:ext uri="{FF2B5EF4-FFF2-40B4-BE49-F238E27FC236}">
              <a16:creationId xmlns:a16="http://schemas.microsoft.com/office/drawing/2014/main" id="{B26D0171-F43F-41C3-8D98-3B4BD7942AE6}"/>
            </a:ext>
          </a:extLst>
        </xdr:cNvPr>
        <xdr:cNvSpPr>
          <a:spLocks/>
        </xdr:cNvSpPr>
      </xdr:nvSpPr>
      <xdr:spPr>
        <a:xfrm rot="10800000" flipH="1">
          <a:off x="8923020" y="18295619"/>
          <a:ext cx="592455" cy="1644015"/>
        </a:xfrm>
        <a:prstGeom prst="bentArrow">
          <a:avLst>
            <a:gd name="adj1" fmla="val 6453"/>
            <a:gd name="adj2" fmla="val 11221"/>
            <a:gd name="adj3" fmla="val 1465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16</xdr:col>
      <xdr:colOff>15240</xdr:colOff>
      <xdr:row>49</xdr:row>
      <xdr:rowOff>198119</xdr:rowOff>
    </xdr:from>
    <xdr:to>
      <xdr:col>17</xdr:col>
      <xdr:colOff>198120</xdr:colOff>
      <xdr:row>50</xdr:row>
      <xdr:rowOff>95249</xdr:rowOff>
    </xdr:to>
    <xdr:sp macro="" textlink="">
      <xdr:nvSpPr>
        <xdr:cNvPr id="174" name="矢印: 折線 173">
          <a:extLst>
            <a:ext uri="{FF2B5EF4-FFF2-40B4-BE49-F238E27FC236}">
              <a16:creationId xmlns:a16="http://schemas.microsoft.com/office/drawing/2014/main" id="{E9BA6A46-52BF-47E4-AF30-B181D20CB127}"/>
            </a:ext>
          </a:extLst>
        </xdr:cNvPr>
        <xdr:cNvSpPr>
          <a:spLocks/>
        </xdr:cNvSpPr>
      </xdr:nvSpPr>
      <xdr:spPr>
        <a:xfrm rot="16200000" flipH="1">
          <a:off x="8955405" y="18240374"/>
          <a:ext cx="278130" cy="3886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50</xdr:row>
      <xdr:rowOff>144779</xdr:rowOff>
    </xdr:from>
    <xdr:to>
      <xdr:col>18</xdr:col>
      <xdr:colOff>45720</xdr:colOff>
      <xdr:row>51</xdr:row>
      <xdr:rowOff>41909</xdr:rowOff>
    </xdr:to>
    <xdr:sp macro="" textlink="">
      <xdr:nvSpPr>
        <xdr:cNvPr id="175" name="矢印: 折線 174">
          <a:extLst>
            <a:ext uri="{FF2B5EF4-FFF2-40B4-BE49-F238E27FC236}">
              <a16:creationId xmlns:a16="http://schemas.microsoft.com/office/drawing/2014/main" id="{C04DEAF6-D176-44ED-805B-0B20BD54DBAC}"/>
            </a:ext>
          </a:extLst>
        </xdr:cNvPr>
        <xdr:cNvSpPr>
          <a:spLocks/>
        </xdr:cNvSpPr>
      </xdr:nvSpPr>
      <xdr:spPr>
        <a:xfrm rot="16200000" flipH="1">
          <a:off x="8966835" y="185261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182880</xdr:colOff>
      <xdr:row>51</xdr:row>
      <xdr:rowOff>106679</xdr:rowOff>
    </xdr:from>
    <xdr:to>
      <xdr:col>18</xdr:col>
      <xdr:colOff>38100</xdr:colOff>
      <xdr:row>52</xdr:row>
      <xdr:rowOff>3809</xdr:rowOff>
    </xdr:to>
    <xdr:sp macro="" textlink="">
      <xdr:nvSpPr>
        <xdr:cNvPr id="176" name="矢印: 折線 175">
          <a:extLst>
            <a:ext uri="{FF2B5EF4-FFF2-40B4-BE49-F238E27FC236}">
              <a16:creationId xmlns:a16="http://schemas.microsoft.com/office/drawing/2014/main" id="{FFA62B8E-BB14-4F4A-9592-35BA16C78F8E}"/>
            </a:ext>
          </a:extLst>
        </xdr:cNvPr>
        <xdr:cNvSpPr>
          <a:spLocks/>
        </xdr:cNvSpPr>
      </xdr:nvSpPr>
      <xdr:spPr>
        <a:xfrm rot="16200000" flipH="1">
          <a:off x="8959215" y="1886902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15</xdr:col>
      <xdr:colOff>190500</xdr:colOff>
      <xdr:row>52</xdr:row>
      <xdr:rowOff>152399</xdr:rowOff>
    </xdr:from>
    <xdr:to>
      <xdr:col>18</xdr:col>
      <xdr:colOff>45720</xdr:colOff>
      <xdr:row>53</xdr:row>
      <xdr:rowOff>49529</xdr:rowOff>
    </xdr:to>
    <xdr:sp macro="" textlink="">
      <xdr:nvSpPr>
        <xdr:cNvPr id="177" name="矢印: 折線 176">
          <a:extLst>
            <a:ext uri="{FF2B5EF4-FFF2-40B4-BE49-F238E27FC236}">
              <a16:creationId xmlns:a16="http://schemas.microsoft.com/office/drawing/2014/main" id="{713765F7-9089-4368-9B92-DF445554D005}"/>
            </a:ext>
          </a:extLst>
        </xdr:cNvPr>
        <xdr:cNvSpPr>
          <a:spLocks/>
        </xdr:cNvSpPr>
      </xdr:nvSpPr>
      <xdr:spPr>
        <a:xfrm rot="16200000" flipH="1">
          <a:off x="8966835" y="19295744"/>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21</xdr:col>
      <xdr:colOff>66275</xdr:colOff>
      <xdr:row>55</xdr:row>
      <xdr:rowOff>197370</xdr:rowOff>
    </xdr:from>
    <xdr:to>
      <xdr:col>23</xdr:col>
      <xdr:colOff>196639</xdr:colOff>
      <xdr:row>56</xdr:row>
      <xdr:rowOff>288810</xdr:rowOff>
    </xdr:to>
    <xdr:sp macro="" textlink="">
      <xdr:nvSpPr>
        <xdr:cNvPr id="178" name="矢印: 折線 177">
          <a:extLst>
            <a:ext uri="{FF2B5EF4-FFF2-40B4-BE49-F238E27FC236}">
              <a16:creationId xmlns:a16="http://schemas.microsoft.com/office/drawing/2014/main" id="{CC419C30-2C0F-4388-ADA5-8DDFAAD9F5E0}"/>
            </a:ext>
          </a:extLst>
        </xdr:cNvPr>
        <xdr:cNvSpPr>
          <a:spLocks/>
        </xdr:cNvSpPr>
      </xdr:nvSpPr>
      <xdr:spPr>
        <a:xfrm rot="10800000" flipH="1">
          <a:off x="9979895" y="20580870"/>
          <a:ext cx="541844"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112395</xdr:colOff>
      <xdr:row>58</xdr:row>
      <xdr:rowOff>129540</xdr:rowOff>
    </xdr:from>
    <xdr:to>
      <xdr:col>23</xdr:col>
      <xdr:colOff>184785</xdr:colOff>
      <xdr:row>61</xdr:row>
      <xdr:rowOff>276225</xdr:rowOff>
    </xdr:to>
    <xdr:sp macro="" textlink="">
      <xdr:nvSpPr>
        <xdr:cNvPr id="179" name="矢印: 折線 178">
          <a:extLst>
            <a:ext uri="{FF2B5EF4-FFF2-40B4-BE49-F238E27FC236}">
              <a16:creationId xmlns:a16="http://schemas.microsoft.com/office/drawing/2014/main" id="{53711573-6A04-46A1-8292-D1FC1E51F93C}"/>
            </a:ext>
          </a:extLst>
        </xdr:cNvPr>
        <xdr:cNvSpPr>
          <a:spLocks/>
        </xdr:cNvSpPr>
      </xdr:nvSpPr>
      <xdr:spPr>
        <a:xfrm rot="10800000" flipH="1">
          <a:off x="10231755" y="21656040"/>
          <a:ext cx="278130" cy="128968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76200</xdr:colOff>
      <xdr:row>58</xdr:row>
      <xdr:rowOff>114300</xdr:rowOff>
    </xdr:from>
    <xdr:to>
      <xdr:col>23</xdr:col>
      <xdr:colOff>167640</xdr:colOff>
      <xdr:row>59</xdr:row>
      <xdr:rowOff>11430</xdr:rowOff>
    </xdr:to>
    <xdr:sp macro="" textlink="">
      <xdr:nvSpPr>
        <xdr:cNvPr id="180" name="矢印: 折線 179">
          <a:extLst>
            <a:ext uri="{FF2B5EF4-FFF2-40B4-BE49-F238E27FC236}">
              <a16:creationId xmlns:a16="http://schemas.microsoft.com/office/drawing/2014/main" id="{D5FA67F4-FB9A-4076-882E-2039C42D809F}"/>
            </a:ext>
          </a:extLst>
        </xdr:cNvPr>
        <xdr:cNvSpPr>
          <a:spLocks/>
        </xdr:cNvSpPr>
      </xdr:nvSpPr>
      <xdr:spPr>
        <a:xfrm rot="16200000" flipH="1">
          <a:off x="10205085" y="21631275"/>
          <a:ext cx="278130" cy="297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53340</xdr:colOff>
      <xdr:row>59</xdr:row>
      <xdr:rowOff>152400</xdr:rowOff>
    </xdr:from>
    <xdr:to>
      <xdr:col>24</xdr:col>
      <xdr:colOff>114300</xdr:colOff>
      <xdr:row>60</xdr:row>
      <xdr:rowOff>49530</xdr:rowOff>
    </xdr:to>
    <xdr:sp macro="" textlink="">
      <xdr:nvSpPr>
        <xdr:cNvPr id="181" name="矢印: 折線 180">
          <a:extLst>
            <a:ext uri="{FF2B5EF4-FFF2-40B4-BE49-F238E27FC236}">
              <a16:creationId xmlns:a16="http://schemas.microsoft.com/office/drawing/2014/main" id="{501FD470-60D1-4929-A8D3-3360391E3B92}"/>
            </a:ext>
          </a:extLst>
        </xdr:cNvPr>
        <xdr:cNvSpPr>
          <a:spLocks/>
        </xdr:cNvSpPr>
      </xdr:nvSpPr>
      <xdr:spPr>
        <a:xfrm rot="16200000" flipH="1">
          <a:off x="10269855" y="21962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22</xdr:col>
      <xdr:colOff>60960</xdr:colOff>
      <xdr:row>60</xdr:row>
      <xdr:rowOff>152400</xdr:rowOff>
    </xdr:from>
    <xdr:to>
      <xdr:col>24</xdr:col>
      <xdr:colOff>121920</xdr:colOff>
      <xdr:row>61</xdr:row>
      <xdr:rowOff>49530</xdr:rowOff>
    </xdr:to>
    <xdr:sp macro="" textlink="">
      <xdr:nvSpPr>
        <xdr:cNvPr id="182" name="矢印: 折線 181">
          <a:extLst>
            <a:ext uri="{FF2B5EF4-FFF2-40B4-BE49-F238E27FC236}">
              <a16:creationId xmlns:a16="http://schemas.microsoft.com/office/drawing/2014/main" id="{422FB865-6200-4829-BB99-8C7E1238C50F}"/>
            </a:ext>
          </a:extLst>
        </xdr:cNvPr>
        <xdr:cNvSpPr>
          <a:spLocks/>
        </xdr:cNvSpPr>
      </xdr:nvSpPr>
      <xdr:spPr>
        <a:xfrm rot="16200000" flipH="1">
          <a:off x="10277475" y="223437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1</xdr:row>
      <xdr:rowOff>297180</xdr:rowOff>
    </xdr:from>
    <xdr:to>
      <xdr:col>35</xdr:col>
      <xdr:colOff>68580</xdr:colOff>
      <xdr:row>2</xdr:row>
      <xdr:rowOff>259080</xdr:rowOff>
    </xdr:to>
    <xdr:sp macro="" textlink="">
      <xdr:nvSpPr>
        <xdr:cNvPr id="183" name="吹き出し: 角を丸めた四角形 182">
          <a:extLst>
            <a:ext uri="{FF2B5EF4-FFF2-40B4-BE49-F238E27FC236}">
              <a16:creationId xmlns:a16="http://schemas.microsoft.com/office/drawing/2014/main" id="{E2586DE2-533B-43EC-A657-33CE4EF8D7A0}"/>
            </a:ext>
          </a:extLst>
        </xdr:cNvPr>
        <xdr:cNvSpPr/>
      </xdr:nvSpPr>
      <xdr:spPr>
        <a:xfrm>
          <a:off x="11932920" y="67818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11/11</a:t>
          </a:r>
          <a:r>
            <a:rPr kumimoji="1" lang="ja-JP" altLang="en-US" sz="1100"/>
            <a:t>日</a:t>
          </a:r>
          <a:r>
            <a:rPr kumimoji="1" lang="en-US" altLang="ja-JP" sz="1100"/>
            <a:t>α</a:t>
          </a:r>
          <a:r>
            <a:rPr kumimoji="1" lang="ja-JP" altLang="en-US" sz="1100"/>
            <a:t>版</a:t>
          </a:r>
        </a:p>
      </xdr:txBody>
    </xdr:sp>
    <xdr:clientData/>
  </xdr:twoCellAnchor>
  <xdr:twoCellAnchor>
    <xdr:from>
      <xdr:col>64</xdr:col>
      <xdr:colOff>60960</xdr:colOff>
      <xdr:row>1</xdr:row>
      <xdr:rowOff>213360</xdr:rowOff>
    </xdr:from>
    <xdr:to>
      <xdr:col>68</xdr:col>
      <xdr:colOff>167640</xdr:colOff>
      <xdr:row>2</xdr:row>
      <xdr:rowOff>175260</xdr:rowOff>
    </xdr:to>
    <xdr:sp macro="" textlink="">
      <xdr:nvSpPr>
        <xdr:cNvPr id="190" name="吹き出し: 角を丸めた四角形 189">
          <a:extLst>
            <a:ext uri="{FF2B5EF4-FFF2-40B4-BE49-F238E27FC236}">
              <a16:creationId xmlns:a16="http://schemas.microsoft.com/office/drawing/2014/main" id="{5BE35264-694F-46D7-A406-E466E2CEB90D}"/>
            </a:ext>
          </a:extLst>
        </xdr:cNvPr>
        <xdr:cNvSpPr/>
      </xdr:nvSpPr>
      <xdr:spPr>
        <a:xfrm>
          <a:off x="18821400" y="594360"/>
          <a:ext cx="9296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12/15</a:t>
          </a:r>
          <a:r>
            <a:rPr kumimoji="1" lang="ja-JP" altLang="en-US" sz="1100"/>
            <a:t>日</a:t>
          </a:r>
          <a:r>
            <a:rPr kumimoji="1" lang="en-US" altLang="ja-JP" sz="1100"/>
            <a:t>β</a:t>
          </a:r>
          <a:r>
            <a:rPr kumimoji="1" lang="ja-JP" altLang="en-US" sz="1100"/>
            <a:t>版</a:t>
          </a:r>
        </a:p>
      </xdr:txBody>
    </xdr:sp>
    <xdr:clientData/>
  </xdr:twoCellAnchor>
  <xdr:twoCellAnchor>
    <xdr:from>
      <xdr:col>71</xdr:col>
      <xdr:colOff>60960</xdr:colOff>
      <xdr:row>1</xdr:row>
      <xdr:rowOff>259080</xdr:rowOff>
    </xdr:from>
    <xdr:to>
      <xdr:col>76</xdr:col>
      <xdr:colOff>76200</xdr:colOff>
      <xdr:row>2</xdr:row>
      <xdr:rowOff>220980</xdr:rowOff>
    </xdr:to>
    <xdr:sp macro="" textlink="">
      <xdr:nvSpPr>
        <xdr:cNvPr id="191" name="吹き出し: 角を丸めた四角形 190">
          <a:extLst>
            <a:ext uri="{FF2B5EF4-FFF2-40B4-BE49-F238E27FC236}">
              <a16:creationId xmlns:a16="http://schemas.microsoft.com/office/drawing/2014/main" id="{2C0ABE85-E771-4CB8-9775-1879C4C7ECE5}"/>
            </a:ext>
          </a:extLst>
        </xdr:cNvPr>
        <xdr:cNvSpPr/>
      </xdr:nvSpPr>
      <xdr:spPr>
        <a:xfrm>
          <a:off x="20261580" y="640080"/>
          <a:ext cx="104394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12/22</a:t>
          </a:r>
          <a:r>
            <a:rPr kumimoji="1" lang="ja-JP" altLang="en-US" sz="1100"/>
            <a:t>日試遊</a:t>
          </a:r>
        </a:p>
      </xdr:txBody>
    </xdr:sp>
    <xdr:clientData/>
  </xdr:twoCellAnchor>
  <xdr:twoCellAnchor>
    <xdr:from>
      <xdr:col>115</xdr:col>
      <xdr:colOff>121920</xdr:colOff>
      <xdr:row>1</xdr:row>
      <xdr:rowOff>281940</xdr:rowOff>
    </xdr:from>
    <xdr:to>
      <xdr:col>122</xdr:col>
      <xdr:colOff>91440</xdr:colOff>
      <xdr:row>2</xdr:row>
      <xdr:rowOff>243840</xdr:rowOff>
    </xdr:to>
    <xdr:sp macro="" textlink="">
      <xdr:nvSpPr>
        <xdr:cNvPr id="192" name="吹き出し: 角を丸めた四角形 191">
          <a:extLst>
            <a:ext uri="{FF2B5EF4-FFF2-40B4-BE49-F238E27FC236}">
              <a16:creationId xmlns:a16="http://schemas.microsoft.com/office/drawing/2014/main" id="{AC3C27F9-9926-4ACE-8A37-74907789E7F5}"/>
            </a:ext>
          </a:extLst>
        </xdr:cNvPr>
        <xdr:cNvSpPr/>
      </xdr:nvSpPr>
      <xdr:spPr>
        <a:xfrm>
          <a:off x="29375100" y="662940"/>
          <a:ext cx="1409700" cy="342900"/>
        </a:xfrm>
        <a:prstGeom prst="wedgeRoundRectCallou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2/5</a:t>
          </a:r>
          <a:r>
            <a:rPr kumimoji="1" lang="ja-JP" altLang="en-US" sz="1100"/>
            <a:t>日リリース版</a:t>
          </a:r>
        </a:p>
      </xdr:txBody>
    </xdr:sp>
    <xdr:clientData/>
  </xdr:twoCellAnchor>
  <xdr:twoCellAnchor>
    <xdr:from>
      <xdr:col>27</xdr:col>
      <xdr:colOff>106680</xdr:colOff>
      <xdr:row>64</xdr:row>
      <xdr:rowOff>121919</xdr:rowOff>
    </xdr:from>
    <xdr:to>
      <xdr:col>28</xdr:col>
      <xdr:colOff>179070</xdr:colOff>
      <xdr:row>66</xdr:row>
      <xdr:rowOff>321944</xdr:rowOff>
    </xdr:to>
    <xdr:sp macro="" textlink="">
      <xdr:nvSpPr>
        <xdr:cNvPr id="193" name="矢印: 折線 192">
          <a:extLst>
            <a:ext uri="{FF2B5EF4-FFF2-40B4-BE49-F238E27FC236}">
              <a16:creationId xmlns:a16="http://schemas.microsoft.com/office/drawing/2014/main" id="{4A43FA33-3721-458C-ACFD-0F316DD3513B}"/>
            </a:ext>
          </a:extLst>
        </xdr:cNvPr>
        <xdr:cNvSpPr>
          <a:spLocks/>
        </xdr:cNvSpPr>
      </xdr:nvSpPr>
      <xdr:spPr>
        <a:xfrm rot="10800000" flipH="1">
          <a:off x="11254740" y="23934419"/>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83820</xdr:colOff>
      <xdr:row>64</xdr:row>
      <xdr:rowOff>144780</xdr:rowOff>
    </xdr:from>
    <xdr:to>
      <xdr:col>29</xdr:col>
      <xdr:colOff>0</xdr:colOff>
      <xdr:row>65</xdr:row>
      <xdr:rowOff>41910</xdr:rowOff>
    </xdr:to>
    <xdr:sp macro="" textlink="">
      <xdr:nvSpPr>
        <xdr:cNvPr id="194" name="矢印: 折線 193">
          <a:extLst>
            <a:ext uri="{FF2B5EF4-FFF2-40B4-BE49-F238E27FC236}">
              <a16:creationId xmlns:a16="http://schemas.microsoft.com/office/drawing/2014/main" id="{112C77D4-F03A-451F-BEB5-0811E399943A}"/>
            </a:ext>
          </a:extLst>
        </xdr:cNvPr>
        <xdr:cNvSpPr>
          <a:spLocks/>
        </xdr:cNvSpPr>
      </xdr:nvSpPr>
      <xdr:spPr>
        <a:xfrm rot="16200000" flipH="1">
          <a:off x="11256645" y="23932515"/>
          <a:ext cx="278130" cy="3276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60960</xdr:colOff>
      <xdr:row>65</xdr:row>
      <xdr:rowOff>137160</xdr:rowOff>
    </xdr:from>
    <xdr:to>
      <xdr:col>29</xdr:col>
      <xdr:colOff>121920</xdr:colOff>
      <xdr:row>66</xdr:row>
      <xdr:rowOff>34290</xdr:rowOff>
    </xdr:to>
    <xdr:sp macro="" textlink="">
      <xdr:nvSpPr>
        <xdr:cNvPr id="195" name="矢印: 折線 194">
          <a:extLst>
            <a:ext uri="{FF2B5EF4-FFF2-40B4-BE49-F238E27FC236}">
              <a16:creationId xmlns:a16="http://schemas.microsoft.com/office/drawing/2014/main" id="{3A336193-5F9C-4F50-BB96-2A9285E7485D}"/>
            </a:ext>
          </a:extLst>
        </xdr:cNvPr>
        <xdr:cNvSpPr>
          <a:spLocks/>
        </xdr:cNvSpPr>
      </xdr:nvSpPr>
      <xdr:spPr>
        <a:xfrm rot="16200000" flipH="1">
          <a:off x="11306175" y="242335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190500</xdr:colOff>
      <xdr:row>66</xdr:row>
      <xdr:rowOff>152399</xdr:rowOff>
    </xdr:from>
    <xdr:to>
      <xdr:col>32</xdr:col>
      <xdr:colOff>57150</xdr:colOff>
      <xdr:row>68</xdr:row>
      <xdr:rowOff>245743</xdr:rowOff>
    </xdr:to>
    <xdr:sp macro="" textlink="">
      <xdr:nvSpPr>
        <xdr:cNvPr id="196" name="矢印: 折線 195">
          <a:extLst>
            <a:ext uri="{FF2B5EF4-FFF2-40B4-BE49-F238E27FC236}">
              <a16:creationId xmlns:a16="http://schemas.microsoft.com/office/drawing/2014/main" id="{25BEA72B-0225-45AA-AC62-D643467E72DE}"/>
            </a:ext>
          </a:extLst>
        </xdr:cNvPr>
        <xdr:cNvSpPr>
          <a:spLocks/>
        </xdr:cNvSpPr>
      </xdr:nvSpPr>
      <xdr:spPr>
        <a:xfrm rot="10800000">
          <a:off x="11955780" y="24726899"/>
          <a:ext cx="278130" cy="855344"/>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38100</xdr:colOff>
      <xdr:row>66</xdr:row>
      <xdr:rowOff>106680</xdr:rowOff>
    </xdr:from>
    <xdr:to>
      <xdr:col>32</xdr:col>
      <xdr:colOff>99060</xdr:colOff>
      <xdr:row>67</xdr:row>
      <xdr:rowOff>3810</xdr:rowOff>
    </xdr:to>
    <xdr:sp macro="" textlink="">
      <xdr:nvSpPr>
        <xdr:cNvPr id="197" name="矢印: 折線 196">
          <a:extLst>
            <a:ext uri="{FF2B5EF4-FFF2-40B4-BE49-F238E27FC236}">
              <a16:creationId xmlns:a16="http://schemas.microsoft.com/office/drawing/2014/main" id="{927CC62F-0508-4411-AB9C-D437E57BF518}"/>
            </a:ext>
          </a:extLst>
        </xdr:cNvPr>
        <xdr:cNvSpPr>
          <a:spLocks/>
        </xdr:cNvSpPr>
      </xdr:nvSpPr>
      <xdr:spPr>
        <a:xfrm rot="5400000">
          <a:off x="11900535" y="24584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27</xdr:col>
      <xdr:colOff>114300</xdr:colOff>
      <xdr:row>66</xdr:row>
      <xdr:rowOff>266699</xdr:rowOff>
    </xdr:from>
    <xdr:to>
      <xdr:col>29</xdr:col>
      <xdr:colOff>186690</xdr:colOff>
      <xdr:row>70</xdr:row>
      <xdr:rowOff>291462</xdr:rowOff>
    </xdr:to>
    <xdr:sp macro="" textlink="">
      <xdr:nvSpPr>
        <xdr:cNvPr id="198" name="矢印: 折線 197">
          <a:extLst>
            <a:ext uri="{FF2B5EF4-FFF2-40B4-BE49-F238E27FC236}">
              <a16:creationId xmlns:a16="http://schemas.microsoft.com/office/drawing/2014/main" id="{72786539-BEF9-48CB-8B0D-036B602C51F9}"/>
            </a:ext>
          </a:extLst>
        </xdr:cNvPr>
        <xdr:cNvSpPr>
          <a:spLocks/>
        </xdr:cNvSpPr>
      </xdr:nvSpPr>
      <xdr:spPr>
        <a:xfrm rot="10800000" flipH="1">
          <a:off x="11262360" y="24841199"/>
          <a:ext cx="483870" cy="1548763"/>
        </a:xfrm>
        <a:prstGeom prst="bentArrow">
          <a:avLst>
            <a:gd name="adj1" fmla="val 13134"/>
            <a:gd name="adj2" fmla="val 16339"/>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182880</xdr:colOff>
      <xdr:row>76</xdr:row>
      <xdr:rowOff>91440</xdr:rowOff>
    </xdr:from>
    <xdr:to>
      <xdr:col>31</xdr:col>
      <xdr:colOff>49530</xdr:colOff>
      <xdr:row>78</xdr:row>
      <xdr:rowOff>291465</xdr:rowOff>
    </xdr:to>
    <xdr:sp macro="" textlink="">
      <xdr:nvSpPr>
        <xdr:cNvPr id="199" name="矢印: 折線 198">
          <a:extLst>
            <a:ext uri="{FF2B5EF4-FFF2-40B4-BE49-F238E27FC236}">
              <a16:creationId xmlns:a16="http://schemas.microsoft.com/office/drawing/2014/main" id="{F870C816-4425-4996-945D-E9C8221DF42F}"/>
            </a:ext>
          </a:extLst>
        </xdr:cNvPr>
        <xdr:cNvSpPr>
          <a:spLocks/>
        </xdr:cNvSpPr>
      </xdr:nvSpPr>
      <xdr:spPr>
        <a:xfrm rot="10800000" flipH="1">
          <a:off x="11742420" y="28475940"/>
          <a:ext cx="278130" cy="962025"/>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129540</xdr:colOff>
      <xdr:row>77</xdr:row>
      <xdr:rowOff>144780</xdr:rowOff>
    </xdr:from>
    <xdr:to>
      <xdr:col>31</xdr:col>
      <xdr:colOff>190500</xdr:colOff>
      <xdr:row>78</xdr:row>
      <xdr:rowOff>41910</xdr:rowOff>
    </xdr:to>
    <xdr:sp macro="" textlink="">
      <xdr:nvSpPr>
        <xdr:cNvPr id="200" name="矢印: 折線 199">
          <a:extLst>
            <a:ext uri="{FF2B5EF4-FFF2-40B4-BE49-F238E27FC236}">
              <a16:creationId xmlns:a16="http://schemas.microsoft.com/office/drawing/2014/main" id="{783FA0FF-0F00-4187-AC69-199F900B1B5B}"/>
            </a:ext>
          </a:extLst>
        </xdr:cNvPr>
        <xdr:cNvSpPr>
          <a:spLocks/>
        </xdr:cNvSpPr>
      </xdr:nvSpPr>
      <xdr:spPr>
        <a:xfrm rot="16200000" flipH="1">
          <a:off x="11786235" y="288131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29</xdr:col>
      <xdr:colOff>144780</xdr:colOff>
      <xdr:row>76</xdr:row>
      <xdr:rowOff>91440</xdr:rowOff>
    </xdr:from>
    <xdr:to>
      <xdr:col>32</xdr:col>
      <xdr:colOff>0</xdr:colOff>
      <xdr:row>76</xdr:row>
      <xdr:rowOff>369570</xdr:rowOff>
    </xdr:to>
    <xdr:sp macro="" textlink="">
      <xdr:nvSpPr>
        <xdr:cNvPr id="201" name="矢印: 折線 200">
          <a:extLst>
            <a:ext uri="{FF2B5EF4-FFF2-40B4-BE49-F238E27FC236}">
              <a16:creationId xmlns:a16="http://schemas.microsoft.com/office/drawing/2014/main" id="{35B1C9D1-77B7-4CF4-B4A2-AC6106435686}"/>
            </a:ext>
          </a:extLst>
        </xdr:cNvPr>
        <xdr:cNvSpPr>
          <a:spLocks/>
        </xdr:cNvSpPr>
      </xdr:nvSpPr>
      <xdr:spPr>
        <a:xfrm rot="16200000" flipH="1">
          <a:off x="11801475" y="283787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31</xdr:col>
      <xdr:colOff>20954</xdr:colOff>
      <xdr:row>82</xdr:row>
      <xdr:rowOff>144780</xdr:rowOff>
    </xdr:from>
    <xdr:to>
      <xdr:col>35</xdr:col>
      <xdr:colOff>182879</xdr:colOff>
      <xdr:row>84</xdr:row>
      <xdr:rowOff>253366</xdr:rowOff>
    </xdr:to>
    <xdr:sp macro="" textlink="">
      <xdr:nvSpPr>
        <xdr:cNvPr id="202" name="矢印: 折線 201">
          <a:extLst>
            <a:ext uri="{FF2B5EF4-FFF2-40B4-BE49-F238E27FC236}">
              <a16:creationId xmlns:a16="http://schemas.microsoft.com/office/drawing/2014/main" id="{0B85A59E-EB2E-4200-A9E9-58607C69500F}"/>
            </a:ext>
          </a:extLst>
        </xdr:cNvPr>
        <xdr:cNvSpPr>
          <a:spLocks/>
        </xdr:cNvSpPr>
      </xdr:nvSpPr>
      <xdr:spPr>
        <a:xfrm rot="10800000" flipH="1">
          <a:off x="11991974" y="30815280"/>
          <a:ext cx="984885"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167640</xdr:colOff>
      <xdr:row>82</xdr:row>
      <xdr:rowOff>175260</xdr:rowOff>
    </xdr:from>
    <xdr:to>
      <xdr:col>32</xdr:col>
      <xdr:colOff>22860</xdr:colOff>
      <xdr:row>83</xdr:row>
      <xdr:rowOff>72390</xdr:rowOff>
    </xdr:to>
    <xdr:sp macro="" textlink="">
      <xdr:nvSpPr>
        <xdr:cNvPr id="203" name="矢印: 折線 202">
          <a:extLst>
            <a:ext uri="{FF2B5EF4-FFF2-40B4-BE49-F238E27FC236}">
              <a16:creationId xmlns:a16="http://schemas.microsoft.com/office/drawing/2014/main" id="{7EC7E4EE-E97B-4C94-8049-45F5089383EA}"/>
            </a:ext>
          </a:extLst>
        </xdr:cNvPr>
        <xdr:cNvSpPr>
          <a:spLocks/>
        </xdr:cNvSpPr>
      </xdr:nvSpPr>
      <xdr:spPr>
        <a:xfrm rot="16200000" flipH="1">
          <a:off x="11927205" y="30851475"/>
          <a:ext cx="278130" cy="2667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30</xdr:col>
      <xdr:colOff>182880</xdr:colOff>
      <xdr:row>83</xdr:row>
      <xdr:rowOff>160020</xdr:rowOff>
    </xdr:from>
    <xdr:to>
      <xdr:col>33</xdr:col>
      <xdr:colOff>38100</xdr:colOff>
      <xdr:row>84</xdr:row>
      <xdr:rowOff>57150</xdr:rowOff>
    </xdr:to>
    <xdr:sp macro="" textlink="">
      <xdr:nvSpPr>
        <xdr:cNvPr id="204" name="矢印: 折線 203">
          <a:extLst>
            <a:ext uri="{FF2B5EF4-FFF2-40B4-BE49-F238E27FC236}">
              <a16:creationId xmlns:a16="http://schemas.microsoft.com/office/drawing/2014/main" id="{1303C1EB-083B-4588-862E-B94EB8F67D2F}"/>
            </a:ext>
          </a:extLst>
        </xdr:cNvPr>
        <xdr:cNvSpPr>
          <a:spLocks/>
        </xdr:cNvSpPr>
      </xdr:nvSpPr>
      <xdr:spPr>
        <a:xfrm rot="16200000" flipH="1">
          <a:off x="12045315" y="31114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99060</xdr:colOff>
      <xdr:row>87</xdr:row>
      <xdr:rowOff>167640</xdr:rowOff>
    </xdr:from>
    <xdr:to>
      <xdr:col>36</xdr:col>
      <xdr:colOff>190499</xdr:colOff>
      <xdr:row>89</xdr:row>
      <xdr:rowOff>276226</xdr:rowOff>
    </xdr:to>
    <xdr:sp macro="" textlink="">
      <xdr:nvSpPr>
        <xdr:cNvPr id="205" name="矢印: 折線 204">
          <a:extLst>
            <a:ext uri="{FF2B5EF4-FFF2-40B4-BE49-F238E27FC236}">
              <a16:creationId xmlns:a16="http://schemas.microsoft.com/office/drawing/2014/main" id="{B545E1B7-8047-4D13-83F4-572801E327D0}"/>
            </a:ext>
          </a:extLst>
        </xdr:cNvPr>
        <xdr:cNvSpPr>
          <a:spLocks/>
        </xdr:cNvSpPr>
      </xdr:nvSpPr>
      <xdr:spPr>
        <a:xfrm rot="10800000" flipH="1">
          <a:off x="12893040" y="32743140"/>
          <a:ext cx="297179" cy="870586"/>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38100</xdr:colOff>
      <xdr:row>87</xdr:row>
      <xdr:rowOff>160020</xdr:rowOff>
    </xdr:from>
    <xdr:to>
      <xdr:col>37</xdr:col>
      <xdr:colOff>99060</xdr:colOff>
      <xdr:row>88</xdr:row>
      <xdr:rowOff>57150</xdr:rowOff>
    </xdr:to>
    <xdr:sp macro="" textlink="">
      <xdr:nvSpPr>
        <xdr:cNvPr id="206" name="矢印: 折線 205">
          <a:extLst>
            <a:ext uri="{FF2B5EF4-FFF2-40B4-BE49-F238E27FC236}">
              <a16:creationId xmlns:a16="http://schemas.microsoft.com/office/drawing/2014/main" id="{DF52EB13-39D9-44CE-A2E8-3C8824469D8F}"/>
            </a:ext>
          </a:extLst>
        </xdr:cNvPr>
        <xdr:cNvSpPr>
          <a:spLocks/>
        </xdr:cNvSpPr>
      </xdr:nvSpPr>
      <xdr:spPr>
        <a:xfrm rot="16200000" flipH="1">
          <a:off x="12929235" y="32638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35</xdr:col>
      <xdr:colOff>22860</xdr:colOff>
      <xdr:row>88</xdr:row>
      <xdr:rowOff>167640</xdr:rowOff>
    </xdr:from>
    <xdr:to>
      <xdr:col>37</xdr:col>
      <xdr:colOff>83820</xdr:colOff>
      <xdr:row>89</xdr:row>
      <xdr:rowOff>64770</xdr:rowOff>
    </xdr:to>
    <xdr:sp macro="" textlink="">
      <xdr:nvSpPr>
        <xdr:cNvPr id="207" name="矢印: 折線 206">
          <a:extLst>
            <a:ext uri="{FF2B5EF4-FFF2-40B4-BE49-F238E27FC236}">
              <a16:creationId xmlns:a16="http://schemas.microsoft.com/office/drawing/2014/main" id="{F722BEC8-A6BA-4B97-8716-C3DC9BDD83A7}"/>
            </a:ext>
          </a:extLst>
        </xdr:cNvPr>
        <xdr:cNvSpPr>
          <a:spLocks/>
        </xdr:cNvSpPr>
      </xdr:nvSpPr>
      <xdr:spPr>
        <a:xfrm rot="16200000" flipH="1">
          <a:off x="12913995" y="330269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99060</xdr:colOff>
      <xdr:row>93</xdr:row>
      <xdr:rowOff>121920</xdr:rowOff>
    </xdr:from>
    <xdr:to>
      <xdr:col>39</xdr:col>
      <xdr:colOff>30479</xdr:colOff>
      <xdr:row>94</xdr:row>
      <xdr:rowOff>281940</xdr:rowOff>
    </xdr:to>
    <xdr:sp macro="" textlink="">
      <xdr:nvSpPr>
        <xdr:cNvPr id="208" name="矢印: 折線 207">
          <a:extLst>
            <a:ext uri="{FF2B5EF4-FFF2-40B4-BE49-F238E27FC236}">
              <a16:creationId xmlns:a16="http://schemas.microsoft.com/office/drawing/2014/main" id="{0557CCF5-F5B6-4F70-A686-7FD0064DBF23}"/>
            </a:ext>
          </a:extLst>
        </xdr:cNvPr>
        <xdr:cNvSpPr>
          <a:spLocks/>
        </xdr:cNvSpPr>
      </xdr:nvSpPr>
      <xdr:spPr>
        <a:xfrm rot="10800000" flipH="1">
          <a:off x="13098780" y="34983420"/>
          <a:ext cx="548639" cy="541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36</xdr:col>
      <xdr:colOff>38100</xdr:colOff>
      <xdr:row>93</xdr:row>
      <xdr:rowOff>129540</xdr:rowOff>
    </xdr:from>
    <xdr:to>
      <xdr:col>38</xdr:col>
      <xdr:colOff>99060</xdr:colOff>
      <xdr:row>94</xdr:row>
      <xdr:rowOff>26670</xdr:rowOff>
    </xdr:to>
    <xdr:sp macro="" textlink="">
      <xdr:nvSpPr>
        <xdr:cNvPr id="209" name="矢印: 折線 208">
          <a:extLst>
            <a:ext uri="{FF2B5EF4-FFF2-40B4-BE49-F238E27FC236}">
              <a16:creationId xmlns:a16="http://schemas.microsoft.com/office/drawing/2014/main" id="{DFC0AC9A-8D85-4201-9304-40D9A0136A62}"/>
            </a:ext>
          </a:extLst>
        </xdr:cNvPr>
        <xdr:cNvSpPr>
          <a:spLocks/>
        </xdr:cNvSpPr>
      </xdr:nvSpPr>
      <xdr:spPr>
        <a:xfrm rot="16200000" flipH="1">
          <a:off x="13134975" y="3489388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175260</xdr:colOff>
      <xdr:row>43</xdr:row>
      <xdr:rowOff>129540</xdr:rowOff>
    </xdr:from>
    <xdr:to>
      <xdr:col>43</xdr:col>
      <xdr:colOff>0</xdr:colOff>
      <xdr:row>46</xdr:row>
      <xdr:rowOff>289560</xdr:rowOff>
    </xdr:to>
    <xdr:sp macro="" textlink="">
      <xdr:nvSpPr>
        <xdr:cNvPr id="210" name="矢印: 折線 209">
          <a:extLst>
            <a:ext uri="{FF2B5EF4-FFF2-40B4-BE49-F238E27FC236}">
              <a16:creationId xmlns:a16="http://schemas.microsoft.com/office/drawing/2014/main" id="{9A5C826F-269A-481F-82F2-425425F17D24}"/>
            </a:ext>
          </a:extLst>
        </xdr:cNvPr>
        <xdr:cNvSpPr>
          <a:spLocks/>
        </xdr:cNvSpPr>
      </xdr:nvSpPr>
      <xdr:spPr>
        <a:xfrm rot="10800000" flipH="1">
          <a:off x="13997940" y="15941040"/>
          <a:ext cx="441960" cy="1303020"/>
        </a:xfrm>
        <a:prstGeom prst="bentArrow">
          <a:avLst>
            <a:gd name="adj1" fmla="val 5657"/>
            <a:gd name="adj2" fmla="val 14720"/>
            <a:gd name="adj3" fmla="val 25000"/>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114300</xdr:colOff>
      <xdr:row>43</xdr:row>
      <xdr:rowOff>99060</xdr:rowOff>
    </xdr:from>
    <xdr:to>
      <xdr:col>42</xdr:col>
      <xdr:colOff>60960</xdr:colOff>
      <xdr:row>43</xdr:row>
      <xdr:rowOff>377190</xdr:rowOff>
    </xdr:to>
    <xdr:sp macro="" textlink="">
      <xdr:nvSpPr>
        <xdr:cNvPr id="212" name="矢印: 折線 211">
          <a:extLst>
            <a:ext uri="{FF2B5EF4-FFF2-40B4-BE49-F238E27FC236}">
              <a16:creationId xmlns:a16="http://schemas.microsoft.com/office/drawing/2014/main" id="{5F26025A-16CA-4C62-AD2E-DFC2349051B0}"/>
            </a:ext>
          </a:extLst>
        </xdr:cNvPr>
        <xdr:cNvSpPr>
          <a:spLocks/>
        </xdr:cNvSpPr>
      </xdr:nvSpPr>
      <xdr:spPr>
        <a:xfrm rot="16200000" flipH="1">
          <a:off x="13976985" y="15870555"/>
          <a:ext cx="278130" cy="3581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99060</xdr:colOff>
      <xdr:row>44</xdr:row>
      <xdr:rowOff>106680</xdr:rowOff>
    </xdr:from>
    <xdr:to>
      <xdr:col>42</xdr:col>
      <xdr:colOff>121920</xdr:colOff>
      <xdr:row>45</xdr:row>
      <xdr:rowOff>3810</xdr:rowOff>
    </xdr:to>
    <xdr:sp macro="" textlink="">
      <xdr:nvSpPr>
        <xdr:cNvPr id="213" name="矢印: 折線 212">
          <a:extLst>
            <a:ext uri="{FF2B5EF4-FFF2-40B4-BE49-F238E27FC236}">
              <a16:creationId xmlns:a16="http://schemas.microsoft.com/office/drawing/2014/main" id="{2392D487-456F-40B7-9678-334B4E5F3986}"/>
            </a:ext>
          </a:extLst>
        </xdr:cNvPr>
        <xdr:cNvSpPr>
          <a:spLocks/>
        </xdr:cNvSpPr>
      </xdr:nvSpPr>
      <xdr:spPr>
        <a:xfrm rot="16200000" flipH="1">
          <a:off x="13999845" y="16221075"/>
          <a:ext cx="278130" cy="434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40</xdr:col>
      <xdr:colOff>106680</xdr:colOff>
      <xdr:row>45</xdr:row>
      <xdr:rowOff>106680</xdr:rowOff>
    </xdr:from>
    <xdr:to>
      <xdr:col>42</xdr:col>
      <xdr:colOff>121920</xdr:colOff>
      <xdr:row>46</xdr:row>
      <xdr:rowOff>3810</xdr:rowOff>
    </xdr:to>
    <xdr:sp macro="" textlink="">
      <xdr:nvSpPr>
        <xdr:cNvPr id="214" name="矢印: 折線 213">
          <a:extLst>
            <a:ext uri="{FF2B5EF4-FFF2-40B4-BE49-F238E27FC236}">
              <a16:creationId xmlns:a16="http://schemas.microsoft.com/office/drawing/2014/main" id="{49A0E992-DF99-475D-B1EA-204F8CB20C5C}"/>
            </a:ext>
          </a:extLst>
        </xdr:cNvPr>
        <xdr:cNvSpPr>
          <a:spLocks/>
        </xdr:cNvSpPr>
      </xdr:nvSpPr>
      <xdr:spPr>
        <a:xfrm rot="16200000" flipH="1">
          <a:off x="14003655" y="16605885"/>
          <a:ext cx="278130" cy="4267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114300</xdr:colOff>
      <xdr:row>98</xdr:row>
      <xdr:rowOff>205740</xdr:rowOff>
    </xdr:from>
    <xdr:to>
      <xdr:col>43</xdr:col>
      <xdr:colOff>205739</xdr:colOff>
      <xdr:row>100</xdr:row>
      <xdr:rowOff>236220</xdr:rowOff>
    </xdr:to>
    <xdr:sp macro="" textlink="">
      <xdr:nvSpPr>
        <xdr:cNvPr id="215" name="矢印: 折線 214">
          <a:extLst>
            <a:ext uri="{FF2B5EF4-FFF2-40B4-BE49-F238E27FC236}">
              <a16:creationId xmlns:a16="http://schemas.microsoft.com/office/drawing/2014/main" id="{B714BD00-35FD-4B55-9413-EF951422A16D}"/>
            </a:ext>
          </a:extLst>
        </xdr:cNvPr>
        <xdr:cNvSpPr>
          <a:spLocks/>
        </xdr:cNvSpPr>
      </xdr:nvSpPr>
      <xdr:spPr>
        <a:xfrm rot="10800000" flipH="1">
          <a:off x="14348460" y="3697224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45720</xdr:colOff>
      <xdr:row>98</xdr:row>
      <xdr:rowOff>182880</xdr:rowOff>
    </xdr:from>
    <xdr:to>
      <xdr:col>44</xdr:col>
      <xdr:colOff>106680</xdr:colOff>
      <xdr:row>99</xdr:row>
      <xdr:rowOff>80010</xdr:rowOff>
    </xdr:to>
    <xdr:sp macro="" textlink="">
      <xdr:nvSpPr>
        <xdr:cNvPr id="216" name="矢印: 折線 215">
          <a:extLst>
            <a:ext uri="{FF2B5EF4-FFF2-40B4-BE49-F238E27FC236}">
              <a16:creationId xmlns:a16="http://schemas.microsoft.com/office/drawing/2014/main" id="{BB0FA3EB-3AB5-4651-BC8C-77D10FBB61D7}"/>
            </a:ext>
          </a:extLst>
        </xdr:cNvPr>
        <xdr:cNvSpPr>
          <a:spLocks/>
        </xdr:cNvSpPr>
      </xdr:nvSpPr>
      <xdr:spPr>
        <a:xfrm rot="16200000" flipH="1">
          <a:off x="14377035" y="368522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53340</xdr:colOff>
      <xdr:row>99</xdr:row>
      <xdr:rowOff>106680</xdr:rowOff>
    </xdr:from>
    <xdr:to>
      <xdr:col>44</xdr:col>
      <xdr:colOff>114300</xdr:colOff>
      <xdr:row>100</xdr:row>
      <xdr:rowOff>3810</xdr:rowOff>
    </xdr:to>
    <xdr:sp macro="" textlink="">
      <xdr:nvSpPr>
        <xdr:cNvPr id="217" name="矢印: 折線 216">
          <a:extLst>
            <a:ext uri="{FF2B5EF4-FFF2-40B4-BE49-F238E27FC236}">
              <a16:creationId xmlns:a16="http://schemas.microsoft.com/office/drawing/2014/main" id="{89597D25-C07E-4DAB-89E3-4B807D9CDC70}"/>
            </a:ext>
          </a:extLst>
        </xdr:cNvPr>
        <xdr:cNvSpPr>
          <a:spLocks/>
        </xdr:cNvSpPr>
      </xdr:nvSpPr>
      <xdr:spPr>
        <a:xfrm rot="16200000" flipH="1">
          <a:off x="14384655" y="37157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42</xdr:col>
      <xdr:colOff>144780</xdr:colOff>
      <xdr:row>100</xdr:row>
      <xdr:rowOff>198120</xdr:rowOff>
    </xdr:from>
    <xdr:to>
      <xdr:col>44</xdr:col>
      <xdr:colOff>182879</xdr:colOff>
      <xdr:row>104</xdr:row>
      <xdr:rowOff>228600</xdr:rowOff>
    </xdr:to>
    <xdr:sp macro="" textlink="">
      <xdr:nvSpPr>
        <xdr:cNvPr id="218" name="矢印: 折線 217">
          <a:extLst>
            <a:ext uri="{FF2B5EF4-FFF2-40B4-BE49-F238E27FC236}">
              <a16:creationId xmlns:a16="http://schemas.microsoft.com/office/drawing/2014/main" id="{89CB2E2A-959B-4ADB-9CF1-026C135F6BDF}"/>
            </a:ext>
          </a:extLst>
        </xdr:cNvPr>
        <xdr:cNvSpPr>
          <a:spLocks/>
        </xdr:cNvSpPr>
      </xdr:nvSpPr>
      <xdr:spPr>
        <a:xfrm rot="10800000" flipH="1">
          <a:off x="14378940" y="37726620"/>
          <a:ext cx="449579" cy="1554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76200</xdr:colOff>
      <xdr:row>107</xdr:row>
      <xdr:rowOff>190500</xdr:rowOff>
    </xdr:from>
    <xdr:to>
      <xdr:col>45</xdr:col>
      <xdr:colOff>167639</xdr:colOff>
      <xdr:row>109</xdr:row>
      <xdr:rowOff>220980</xdr:rowOff>
    </xdr:to>
    <xdr:sp macro="" textlink="">
      <xdr:nvSpPr>
        <xdr:cNvPr id="219" name="矢印: 折線 218">
          <a:extLst>
            <a:ext uri="{FF2B5EF4-FFF2-40B4-BE49-F238E27FC236}">
              <a16:creationId xmlns:a16="http://schemas.microsoft.com/office/drawing/2014/main" id="{54326CAD-7BB4-44B0-BE21-BE60C148BF68}"/>
            </a:ext>
          </a:extLst>
        </xdr:cNvPr>
        <xdr:cNvSpPr>
          <a:spLocks/>
        </xdr:cNvSpPr>
      </xdr:nvSpPr>
      <xdr:spPr>
        <a:xfrm rot="10800000" flipH="1">
          <a:off x="14721840" y="40386000"/>
          <a:ext cx="297179" cy="7924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7620</xdr:colOff>
      <xdr:row>108</xdr:row>
      <xdr:rowOff>106680</xdr:rowOff>
    </xdr:from>
    <xdr:to>
      <xdr:col>46</xdr:col>
      <xdr:colOff>68580</xdr:colOff>
      <xdr:row>109</xdr:row>
      <xdr:rowOff>3810</xdr:rowOff>
    </xdr:to>
    <xdr:sp macro="" textlink="">
      <xdr:nvSpPr>
        <xdr:cNvPr id="220" name="矢印: 折線 219">
          <a:extLst>
            <a:ext uri="{FF2B5EF4-FFF2-40B4-BE49-F238E27FC236}">
              <a16:creationId xmlns:a16="http://schemas.microsoft.com/office/drawing/2014/main" id="{5D1E8B72-52B5-45F8-902D-2238C37DB626}"/>
            </a:ext>
          </a:extLst>
        </xdr:cNvPr>
        <xdr:cNvSpPr>
          <a:spLocks/>
        </xdr:cNvSpPr>
      </xdr:nvSpPr>
      <xdr:spPr>
        <a:xfrm rot="16200000" flipH="1">
          <a:off x="14750415" y="4058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22860</xdr:colOff>
      <xdr:row>107</xdr:row>
      <xdr:rowOff>76200</xdr:rowOff>
    </xdr:from>
    <xdr:to>
      <xdr:col>46</xdr:col>
      <xdr:colOff>83820</xdr:colOff>
      <xdr:row>107</xdr:row>
      <xdr:rowOff>354330</xdr:rowOff>
    </xdr:to>
    <xdr:sp macro="" textlink="">
      <xdr:nvSpPr>
        <xdr:cNvPr id="221" name="矢印: 折線 220">
          <a:extLst>
            <a:ext uri="{FF2B5EF4-FFF2-40B4-BE49-F238E27FC236}">
              <a16:creationId xmlns:a16="http://schemas.microsoft.com/office/drawing/2014/main" id="{B6462C35-E814-468E-B1AF-1DAC2F185704}"/>
            </a:ext>
          </a:extLst>
        </xdr:cNvPr>
        <xdr:cNvSpPr>
          <a:spLocks/>
        </xdr:cNvSpPr>
      </xdr:nvSpPr>
      <xdr:spPr>
        <a:xfrm rot="16200000" flipH="1">
          <a:off x="14765655" y="4017454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99060</xdr:colOff>
      <xdr:row>109</xdr:row>
      <xdr:rowOff>236220</xdr:rowOff>
    </xdr:from>
    <xdr:to>
      <xdr:col>50</xdr:col>
      <xdr:colOff>190500</xdr:colOff>
      <xdr:row>115</xdr:row>
      <xdr:rowOff>297180</xdr:rowOff>
    </xdr:to>
    <xdr:sp macro="" textlink="">
      <xdr:nvSpPr>
        <xdr:cNvPr id="222" name="矢印: 折線 221">
          <a:extLst>
            <a:ext uri="{FF2B5EF4-FFF2-40B4-BE49-F238E27FC236}">
              <a16:creationId xmlns:a16="http://schemas.microsoft.com/office/drawing/2014/main" id="{BCA96C30-1ACA-4B4E-B2A6-A416AB7D9DAC}"/>
            </a:ext>
          </a:extLst>
        </xdr:cNvPr>
        <xdr:cNvSpPr>
          <a:spLocks/>
        </xdr:cNvSpPr>
      </xdr:nvSpPr>
      <xdr:spPr>
        <a:xfrm rot="10800000" flipH="1">
          <a:off x="14744700" y="41193720"/>
          <a:ext cx="1325880" cy="23469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44</xdr:col>
      <xdr:colOff>89534</xdr:colOff>
      <xdr:row>114</xdr:row>
      <xdr:rowOff>68579</xdr:rowOff>
    </xdr:from>
    <xdr:to>
      <xdr:col>50</xdr:col>
      <xdr:colOff>30480</xdr:colOff>
      <xdr:row>114</xdr:row>
      <xdr:rowOff>350520</xdr:rowOff>
    </xdr:to>
    <xdr:sp macro="" textlink="">
      <xdr:nvSpPr>
        <xdr:cNvPr id="223" name="矢印: 折線 222">
          <a:extLst>
            <a:ext uri="{FF2B5EF4-FFF2-40B4-BE49-F238E27FC236}">
              <a16:creationId xmlns:a16="http://schemas.microsoft.com/office/drawing/2014/main" id="{2B81DBD2-BEE8-4993-863C-680E3E8437DD}"/>
            </a:ext>
          </a:extLst>
        </xdr:cNvPr>
        <xdr:cNvSpPr>
          <a:spLocks/>
        </xdr:cNvSpPr>
      </xdr:nvSpPr>
      <xdr:spPr>
        <a:xfrm>
          <a:off x="14735174" y="42931079"/>
          <a:ext cx="1175386" cy="281941"/>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68580</xdr:colOff>
      <xdr:row>118</xdr:row>
      <xdr:rowOff>160020</xdr:rowOff>
    </xdr:from>
    <xdr:to>
      <xdr:col>52</xdr:col>
      <xdr:colOff>160019</xdr:colOff>
      <xdr:row>120</xdr:row>
      <xdr:rowOff>243840</xdr:rowOff>
    </xdr:to>
    <xdr:sp macro="" textlink="">
      <xdr:nvSpPr>
        <xdr:cNvPr id="224" name="矢印: 折線 223">
          <a:extLst>
            <a:ext uri="{FF2B5EF4-FFF2-40B4-BE49-F238E27FC236}">
              <a16:creationId xmlns:a16="http://schemas.microsoft.com/office/drawing/2014/main" id="{7867F0CD-ACD8-493F-9331-108367CEEA97}"/>
            </a:ext>
          </a:extLst>
        </xdr:cNvPr>
        <xdr:cNvSpPr>
          <a:spLocks/>
        </xdr:cNvSpPr>
      </xdr:nvSpPr>
      <xdr:spPr>
        <a:xfrm rot="10800000" flipH="1">
          <a:off x="16154400" y="44546520"/>
          <a:ext cx="297179" cy="8458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22860</xdr:colOff>
      <xdr:row>119</xdr:row>
      <xdr:rowOff>83820</xdr:rowOff>
    </xdr:from>
    <xdr:to>
      <xdr:col>53</xdr:col>
      <xdr:colOff>83820</xdr:colOff>
      <xdr:row>119</xdr:row>
      <xdr:rowOff>361950</xdr:rowOff>
    </xdr:to>
    <xdr:sp macro="" textlink="">
      <xdr:nvSpPr>
        <xdr:cNvPr id="225" name="矢印: 折線 224">
          <a:extLst>
            <a:ext uri="{FF2B5EF4-FFF2-40B4-BE49-F238E27FC236}">
              <a16:creationId xmlns:a16="http://schemas.microsoft.com/office/drawing/2014/main" id="{872C8B84-B2A9-491D-AD58-C99AD8A5A863}"/>
            </a:ext>
          </a:extLst>
        </xdr:cNvPr>
        <xdr:cNvSpPr>
          <a:spLocks/>
        </xdr:cNvSpPr>
      </xdr:nvSpPr>
      <xdr:spPr>
        <a:xfrm rot="16200000" flipH="1">
          <a:off x="16205835" y="447541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51</xdr:col>
      <xdr:colOff>30480</xdr:colOff>
      <xdr:row>118</xdr:row>
      <xdr:rowOff>106680</xdr:rowOff>
    </xdr:from>
    <xdr:to>
      <xdr:col>53</xdr:col>
      <xdr:colOff>91440</xdr:colOff>
      <xdr:row>119</xdr:row>
      <xdr:rowOff>3810</xdr:rowOff>
    </xdr:to>
    <xdr:sp macro="" textlink="">
      <xdr:nvSpPr>
        <xdr:cNvPr id="226" name="矢印: 折線 225">
          <a:extLst>
            <a:ext uri="{FF2B5EF4-FFF2-40B4-BE49-F238E27FC236}">
              <a16:creationId xmlns:a16="http://schemas.microsoft.com/office/drawing/2014/main" id="{4B97F880-9D11-4678-8308-DD5AE5B9A6FE}"/>
            </a:ext>
          </a:extLst>
        </xdr:cNvPr>
        <xdr:cNvSpPr>
          <a:spLocks/>
        </xdr:cNvSpPr>
      </xdr:nvSpPr>
      <xdr:spPr>
        <a:xfrm rot="16200000" flipH="1">
          <a:off x="16213455" y="4439602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43</xdr:col>
      <xdr:colOff>7620</xdr:colOff>
      <xdr:row>41</xdr:row>
      <xdr:rowOff>167640</xdr:rowOff>
    </xdr:from>
    <xdr:to>
      <xdr:col>56</xdr:col>
      <xdr:colOff>38100</xdr:colOff>
      <xdr:row>124</xdr:row>
      <xdr:rowOff>259080</xdr:rowOff>
    </xdr:to>
    <xdr:sp macro="" textlink="">
      <xdr:nvSpPr>
        <xdr:cNvPr id="227" name="矢印: 折線 226">
          <a:extLst>
            <a:ext uri="{FF2B5EF4-FFF2-40B4-BE49-F238E27FC236}">
              <a16:creationId xmlns:a16="http://schemas.microsoft.com/office/drawing/2014/main" id="{9C4D5F0D-E2DF-4DE4-9E08-461EAF636124}"/>
            </a:ext>
          </a:extLst>
        </xdr:cNvPr>
        <xdr:cNvSpPr>
          <a:spLocks/>
        </xdr:cNvSpPr>
      </xdr:nvSpPr>
      <xdr:spPr>
        <a:xfrm rot="5400000">
          <a:off x="-57150" y="29721810"/>
          <a:ext cx="31714440" cy="2705100"/>
        </a:xfrm>
        <a:prstGeom prst="bentArrow">
          <a:avLst>
            <a:gd name="adj1" fmla="val 1395"/>
            <a:gd name="adj2" fmla="val 4022"/>
            <a:gd name="adj3" fmla="val 3629"/>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114300</xdr:colOff>
      <xdr:row>124</xdr:row>
      <xdr:rowOff>129540</xdr:rowOff>
    </xdr:from>
    <xdr:to>
      <xdr:col>56</xdr:col>
      <xdr:colOff>190500</xdr:colOff>
      <xdr:row>127</xdr:row>
      <xdr:rowOff>289560</xdr:rowOff>
    </xdr:to>
    <xdr:sp macro="" textlink="">
      <xdr:nvSpPr>
        <xdr:cNvPr id="228" name="矢印: 折線 227">
          <a:extLst>
            <a:ext uri="{FF2B5EF4-FFF2-40B4-BE49-F238E27FC236}">
              <a16:creationId xmlns:a16="http://schemas.microsoft.com/office/drawing/2014/main" id="{6A133B97-5D5E-499D-9575-C60BCE6C1001}"/>
            </a:ext>
          </a:extLst>
        </xdr:cNvPr>
        <xdr:cNvSpPr>
          <a:spLocks/>
        </xdr:cNvSpPr>
      </xdr:nvSpPr>
      <xdr:spPr>
        <a:xfrm rot="10800000" flipH="1">
          <a:off x="16405860" y="46802040"/>
          <a:ext cx="899160" cy="13030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45720</xdr:colOff>
      <xdr:row>125</xdr:row>
      <xdr:rowOff>160020</xdr:rowOff>
    </xdr:from>
    <xdr:to>
      <xdr:col>54</xdr:col>
      <xdr:colOff>106680</xdr:colOff>
      <xdr:row>126</xdr:row>
      <xdr:rowOff>57150</xdr:rowOff>
    </xdr:to>
    <xdr:sp macro="" textlink="">
      <xdr:nvSpPr>
        <xdr:cNvPr id="229" name="矢印: 折線 228">
          <a:extLst>
            <a:ext uri="{FF2B5EF4-FFF2-40B4-BE49-F238E27FC236}">
              <a16:creationId xmlns:a16="http://schemas.microsoft.com/office/drawing/2014/main" id="{FCE13C8C-1C18-4890-AF72-A6E9B307FD09}"/>
            </a:ext>
          </a:extLst>
        </xdr:cNvPr>
        <xdr:cNvSpPr>
          <a:spLocks/>
        </xdr:cNvSpPr>
      </xdr:nvSpPr>
      <xdr:spPr>
        <a:xfrm rot="16200000" flipH="1">
          <a:off x="16434435" y="471163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76200</xdr:colOff>
      <xdr:row>124</xdr:row>
      <xdr:rowOff>99060</xdr:rowOff>
    </xdr:from>
    <xdr:to>
      <xdr:col>54</xdr:col>
      <xdr:colOff>137160</xdr:colOff>
      <xdr:row>124</xdr:row>
      <xdr:rowOff>377190</xdr:rowOff>
    </xdr:to>
    <xdr:sp macro="" textlink="">
      <xdr:nvSpPr>
        <xdr:cNvPr id="230" name="矢印: 折線 229">
          <a:extLst>
            <a:ext uri="{FF2B5EF4-FFF2-40B4-BE49-F238E27FC236}">
              <a16:creationId xmlns:a16="http://schemas.microsoft.com/office/drawing/2014/main" id="{4552D396-E734-4FB5-8A1E-EBC1BC1A024F}"/>
            </a:ext>
          </a:extLst>
        </xdr:cNvPr>
        <xdr:cNvSpPr>
          <a:spLocks/>
        </xdr:cNvSpPr>
      </xdr:nvSpPr>
      <xdr:spPr>
        <a:xfrm rot="16200000" flipH="1">
          <a:off x="16464915" y="4667440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52</xdr:col>
      <xdr:colOff>83820</xdr:colOff>
      <xdr:row>126</xdr:row>
      <xdr:rowOff>198120</xdr:rowOff>
    </xdr:from>
    <xdr:to>
      <xdr:col>54</xdr:col>
      <xdr:colOff>144780</xdr:colOff>
      <xdr:row>127</xdr:row>
      <xdr:rowOff>95250</xdr:rowOff>
    </xdr:to>
    <xdr:sp macro="" textlink="">
      <xdr:nvSpPr>
        <xdr:cNvPr id="231" name="矢印: 折線 230">
          <a:extLst>
            <a:ext uri="{FF2B5EF4-FFF2-40B4-BE49-F238E27FC236}">
              <a16:creationId xmlns:a16="http://schemas.microsoft.com/office/drawing/2014/main" id="{94BDDDA9-297F-46DA-9A89-417FBDDF1B81}"/>
            </a:ext>
          </a:extLst>
        </xdr:cNvPr>
        <xdr:cNvSpPr>
          <a:spLocks/>
        </xdr:cNvSpPr>
      </xdr:nvSpPr>
      <xdr:spPr>
        <a:xfrm rot="16200000" flipH="1">
          <a:off x="16472535" y="47535465"/>
          <a:ext cx="278130" cy="4724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129540</xdr:colOff>
      <xdr:row>131</xdr:row>
      <xdr:rowOff>137160</xdr:rowOff>
    </xdr:from>
    <xdr:to>
      <xdr:col>61</xdr:col>
      <xdr:colOff>15240</xdr:colOff>
      <xdr:row>133</xdr:row>
      <xdr:rowOff>281940</xdr:rowOff>
    </xdr:to>
    <xdr:sp macro="" textlink="">
      <xdr:nvSpPr>
        <xdr:cNvPr id="233" name="矢印: 折線 232">
          <a:extLst>
            <a:ext uri="{FF2B5EF4-FFF2-40B4-BE49-F238E27FC236}">
              <a16:creationId xmlns:a16="http://schemas.microsoft.com/office/drawing/2014/main" id="{9824C9F9-E4CC-4187-9F9B-77542112DDBE}"/>
            </a:ext>
          </a:extLst>
        </xdr:cNvPr>
        <xdr:cNvSpPr>
          <a:spLocks/>
        </xdr:cNvSpPr>
      </xdr:nvSpPr>
      <xdr:spPr>
        <a:xfrm rot="10800000" flipH="1">
          <a:off x="17449800" y="49476660"/>
          <a:ext cx="708660" cy="90678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60960</xdr:colOff>
      <xdr:row>132</xdr:row>
      <xdr:rowOff>106680</xdr:rowOff>
    </xdr:from>
    <xdr:to>
      <xdr:col>60</xdr:col>
      <xdr:colOff>106680</xdr:colOff>
      <xdr:row>133</xdr:row>
      <xdr:rowOff>3810</xdr:rowOff>
    </xdr:to>
    <xdr:sp macro="" textlink="">
      <xdr:nvSpPr>
        <xdr:cNvPr id="234" name="矢印: 折線 233">
          <a:extLst>
            <a:ext uri="{FF2B5EF4-FFF2-40B4-BE49-F238E27FC236}">
              <a16:creationId xmlns:a16="http://schemas.microsoft.com/office/drawing/2014/main" id="{EFFAF4A4-D85D-4FDF-BBE9-E8B90ED1F662}"/>
            </a:ext>
          </a:extLst>
        </xdr:cNvPr>
        <xdr:cNvSpPr>
          <a:spLocks/>
        </xdr:cNvSpPr>
      </xdr:nvSpPr>
      <xdr:spPr>
        <a:xfrm rot="16200000" flipH="1">
          <a:off x="17573625" y="49634775"/>
          <a:ext cx="278130" cy="6629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57</xdr:col>
      <xdr:colOff>83820</xdr:colOff>
      <xdr:row>131</xdr:row>
      <xdr:rowOff>129540</xdr:rowOff>
    </xdr:from>
    <xdr:to>
      <xdr:col>60</xdr:col>
      <xdr:colOff>60960</xdr:colOff>
      <xdr:row>132</xdr:row>
      <xdr:rowOff>26670</xdr:rowOff>
    </xdr:to>
    <xdr:sp macro="" textlink="">
      <xdr:nvSpPr>
        <xdr:cNvPr id="235" name="矢印: 折線 234">
          <a:extLst>
            <a:ext uri="{FF2B5EF4-FFF2-40B4-BE49-F238E27FC236}">
              <a16:creationId xmlns:a16="http://schemas.microsoft.com/office/drawing/2014/main" id="{3E027089-10D9-49A7-80F9-DB78242038EE}"/>
            </a:ext>
          </a:extLst>
        </xdr:cNvPr>
        <xdr:cNvSpPr>
          <a:spLocks/>
        </xdr:cNvSpPr>
      </xdr:nvSpPr>
      <xdr:spPr>
        <a:xfrm rot="16200000" flipH="1">
          <a:off x="17562195" y="49310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41</xdr:col>
      <xdr:colOff>22860</xdr:colOff>
      <xdr:row>39</xdr:row>
      <xdr:rowOff>190500</xdr:rowOff>
    </xdr:from>
    <xdr:to>
      <xdr:col>63</xdr:col>
      <xdr:colOff>114300</xdr:colOff>
      <xdr:row>146</xdr:row>
      <xdr:rowOff>365760</xdr:rowOff>
    </xdr:to>
    <xdr:sp macro="" textlink="">
      <xdr:nvSpPr>
        <xdr:cNvPr id="236" name="矢印: 折線 235">
          <a:extLst>
            <a:ext uri="{FF2B5EF4-FFF2-40B4-BE49-F238E27FC236}">
              <a16:creationId xmlns:a16="http://schemas.microsoft.com/office/drawing/2014/main" id="{5D45CB22-33F8-4DF5-9225-A3F1F52744E7}"/>
            </a:ext>
          </a:extLst>
        </xdr:cNvPr>
        <xdr:cNvSpPr>
          <a:spLocks/>
        </xdr:cNvSpPr>
      </xdr:nvSpPr>
      <xdr:spPr>
        <a:xfrm rot="5400000">
          <a:off x="-4110990" y="32640270"/>
          <a:ext cx="40942260" cy="4617720"/>
        </a:xfrm>
        <a:prstGeom prst="bentArrow">
          <a:avLst>
            <a:gd name="adj1" fmla="val 1395"/>
            <a:gd name="adj2" fmla="val 2271"/>
            <a:gd name="adj3" fmla="val 1948"/>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182880</xdr:colOff>
      <xdr:row>139</xdr:row>
      <xdr:rowOff>167640</xdr:rowOff>
    </xdr:from>
    <xdr:to>
      <xdr:col>66</xdr:col>
      <xdr:colOff>68580</xdr:colOff>
      <xdr:row>140</xdr:row>
      <xdr:rowOff>266700</xdr:rowOff>
    </xdr:to>
    <xdr:sp macro="" textlink="">
      <xdr:nvSpPr>
        <xdr:cNvPr id="237" name="矢印: 折線 236">
          <a:extLst>
            <a:ext uri="{FF2B5EF4-FFF2-40B4-BE49-F238E27FC236}">
              <a16:creationId xmlns:a16="http://schemas.microsoft.com/office/drawing/2014/main" id="{515252D4-715A-4542-8059-31364ABA6362}"/>
            </a:ext>
          </a:extLst>
        </xdr:cNvPr>
        <xdr:cNvSpPr>
          <a:spLocks/>
        </xdr:cNvSpPr>
      </xdr:nvSpPr>
      <xdr:spPr>
        <a:xfrm rot="10800000" flipH="1">
          <a:off x="18531840" y="525551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7620</xdr:colOff>
      <xdr:row>140</xdr:row>
      <xdr:rowOff>205740</xdr:rowOff>
    </xdr:from>
    <xdr:to>
      <xdr:col>66</xdr:col>
      <xdr:colOff>99060</xdr:colOff>
      <xdr:row>141</xdr:row>
      <xdr:rowOff>304800</xdr:rowOff>
    </xdr:to>
    <xdr:sp macro="" textlink="">
      <xdr:nvSpPr>
        <xdr:cNvPr id="238" name="矢印: 折線 237">
          <a:extLst>
            <a:ext uri="{FF2B5EF4-FFF2-40B4-BE49-F238E27FC236}">
              <a16:creationId xmlns:a16="http://schemas.microsoft.com/office/drawing/2014/main" id="{F08D8CC6-4E40-4EBF-ACF4-09B1D6802DEE}"/>
            </a:ext>
          </a:extLst>
        </xdr:cNvPr>
        <xdr:cNvSpPr>
          <a:spLocks/>
        </xdr:cNvSpPr>
      </xdr:nvSpPr>
      <xdr:spPr>
        <a:xfrm rot="10800000" flipH="1">
          <a:off x="18562320" y="5297424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22860</xdr:colOff>
      <xdr:row>141</xdr:row>
      <xdr:rowOff>198120</xdr:rowOff>
    </xdr:from>
    <xdr:to>
      <xdr:col>66</xdr:col>
      <xdr:colOff>114300</xdr:colOff>
      <xdr:row>142</xdr:row>
      <xdr:rowOff>297180</xdr:rowOff>
    </xdr:to>
    <xdr:sp macro="" textlink="">
      <xdr:nvSpPr>
        <xdr:cNvPr id="239" name="矢印: 折線 238">
          <a:extLst>
            <a:ext uri="{FF2B5EF4-FFF2-40B4-BE49-F238E27FC236}">
              <a16:creationId xmlns:a16="http://schemas.microsoft.com/office/drawing/2014/main" id="{7A44DFD2-0718-4724-96F7-4183585C4C98}"/>
            </a:ext>
          </a:extLst>
        </xdr:cNvPr>
        <xdr:cNvSpPr>
          <a:spLocks/>
        </xdr:cNvSpPr>
      </xdr:nvSpPr>
      <xdr:spPr>
        <a:xfrm rot="10800000" flipH="1">
          <a:off x="18577560" y="53347620"/>
          <a:ext cx="7086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62</xdr:col>
      <xdr:colOff>198120</xdr:colOff>
      <xdr:row>143</xdr:row>
      <xdr:rowOff>198120</xdr:rowOff>
    </xdr:from>
    <xdr:to>
      <xdr:col>67</xdr:col>
      <xdr:colOff>53340</xdr:colOff>
      <xdr:row>144</xdr:row>
      <xdr:rowOff>297180</xdr:rowOff>
    </xdr:to>
    <xdr:sp macro="" textlink="">
      <xdr:nvSpPr>
        <xdr:cNvPr id="240" name="矢印: 折線 239">
          <a:extLst>
            <a:ext uri="{FF2B5EF4-FFF2-40B4-BE49-F238E27FC236}">
              <a16:creationId xmlns:a16="http://schemas.microsoft.com/office/drawing/2014/main" id="{2360CD26-A80D-4FCB-9675-FE97EBE34D2B}"/>
            </a:ext>
          </a:extLst>
        </xdr:cNvPr>
        <xdr:cNvSpPr>
          <a:spLocks/>
        </xdr:cNvSpPr>
      </xdr:nvSpPr>
      <xdr:spPr>
        <a:xfrm rot="10800000" flipH="1">
          <a:off x="18547080" y="54109620"/>
          <a:ext cx="88392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15240</xdr:colOff>
      <xdr:row>144</xdr:row>
      <xdr:rowOff>198120</xdr:rowOff>
    </xdr:from>
    <xdr:to>
      <xdr:col>67</xdr:col>
      <xdr:colOff>91440</xdr:colOff>
      <xdr:row>145</xdr:row>
      <xdr:rowOff>297180</xdr:rowOff>
    </xdr:to>
    <xdr:sp macro="" textlink="">
      <xdr:nvSpPr>
        <xdr:cNvPr id="241" name="矢印: 折線 240">
          <a:extLst>
            <a:ext uri="{FF2B5EF4-FFF2-40B4-BE49-F238E27FC236}">
              <a16:creationId xmlns:a16="http://schemas.microsoft.com/office/drawing/2014/main" id="{DE2C4524-1A4F-4684-B4D6-5D959C3D249E}"/>
            </a:ext>
          </a:extLst>
        </xdr:cNvPr>
        <xdr:cNvSpPr>
          <a:spLocks/>
        </xdr:cNvSpPr>
      </xdr:nvSpPr>
      <xdr:spPr>
        <a:xfrm rot="10800000" flipH="1">
          <a:off x="18569940" y="54490620"/>
          <a:ext cx="89916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63</xdr:col>
      <xdr:colOff>0</xdr:colOff>
      <xdr:row>145</xdr:row>
      <xdr:rowOff>121920</xdr:rowOff>
    </xdr:from>
    <xdr:to>
      <xdr:col>68</xdr:col>
      <xdr:colOff>53340</xdr:colOff>
      <xdr:row>146</xdr:row>
      <xdr:rowOff>220980</xdr:rowOff>
    </xdr:to>
    <xdr:sp macro="" textlink="">
      <xdr:nvSpPr>
        <xdr:cNvPr id="242" name="矢印: 折線 241">
          <a:extLst>
            <a:ext uri="{FF2B5EF4-FFF2-40B4-BE49-F238E27FC236}">
              <a16:creationId xmlns:a16="http://schemas.microsoft.com/office/drawing/2014/main" id="{97510FD8-E6EA-4C28-99A2-8E15636F4298}"/>
            </a:ext>
          </a:extLst>
        </xdr:cNvPr>
        <xdr:cNvSpPr>
          <a:spLocks/>
        </xdr:cNvSpPr>
      </xdr:nvSpPr>
      <xdr:spPr>
        <a:xfrm rot="10800000" flipH="1">
          <a:off x="18554700" y="54795420"/>
          <a:ext cx="1082040" cy="48006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69</xdr:col>
      <xdr:colOff>45720</xdr:colOff>
      <xdr:row>149</xdr:row>
      <xdr:rowOff>175260</xdr:rowOff>
    </xdr:from>
    <xdr:to>
      <xdr:col>72</xdr:col>
      <xdr:colOff>45720</xdr:colOff>
      <xdr:row>153</xdr:row>
      <xdr:rowOff>297180</xdr:rowOff>
    </xdr:to>
    <xdr:sp macro="" textlink="">
      <xdr:nvSpPr>
        <xdr:cNvPr id="243" name="矢印: 折線 242">
          <a:extLst>
            <a:ext uri="{FF2B5EF4-FFF2-40B4-BE49-F238E27FC236}">
              <a16:creationId xmlns:a16="http://schemas.microsoft.com/office/drawing/2014/main" id="{239BED23-206D-4F5C-BBBD-69E07573A5AD}"/>
            </a:ext>
          </a:extLst>
        </xdr:cNvPr>
        <xdr:cNvSpPr>
          <a:spLocks/>
        </xdr:cNvSpPr>
      </xdr:nvSpPr>
      <xdr:spPr>
        <a:xfrm rot="10800000" flipH="1">
          <a:off x="19834860" y="5637276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182880</xdr:colOff>
      <xdr:row>149</xdr:row>
      <xdr:rowOff>121920</xdr:rowOff>
    </xdr:from>
    <xdr:to>
      <xdr:col>71</xdr:col>
      <xdr:colOff>160020</xdr:colOff>
      <xdr:row>150</xdr:row>
      <xdr:rowOff>19050</xdr:rowOff>
    </xdr:to>
    <xdr:sp macro="" textlink="">
      <xdr:nvSpPr>
        <xdr:cNvPr id="244" name="矢印: 折線 243">
          <a:extLst>
            <a:ext uri="{FF2B5EF4-FFF2-40B4-BE49-F238E27FC236}">
              <a16:creationId xmlns:a16="http://schemas.microsoft.com/office/drawing/2014/main" id="{AC192BE7-740F-436B-9992-93443B1CD3B1}"/>
            </a:ext>
          </a:extLst>
        </xdr:cNvPr>
        <xdr:cNvSpPr>
          <a:spLocks/>
        </xdr:cNvSpPr>
      </xdr:nvSpPr>
      <xdr:spPr>
        <a:xfrm rot="16200000" flipH="1">
          <a:off x="19924395" y="561613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150</xdr:row>
      <xdr:rowOff>137160</xdr:rowOff>
    </xdr:from>
    <xdr:to>
      <xdr:col>71</xdr:col>
      <xdr:colOff>175260</xdr:colOff>
      <xdr:row>151</xdr:row>
      <xdr:rowOff>34290</xdr:rowOff>
    </xdr:to>
    <xdr:sp macro="" textlink="">
      <xdr:nvSpPr>
        <xdr:cNvPr id="245" name="矢印: 折線 244">
          <a:extLst>
            <a:ext uri="{FF2B5EF4-FFF2-40B4-BE49-F238E27FC236}">
              <a16:creationId xmlns:a16="http://schemas.microsoft.com/office/drawing/2014/main" id="{40D0C35E-ABCD-404E-9982-6502E90A31A1}"/>
            </a:ext>
          </a:extLst>
        </xdr:cNvPr>
        <xdr:cNvSpPr>
          <a:spLocks/>
        </xdr:cNvSpPr>
      </xdr:nvSpPr>
      <xdr:spPr>
        <a:xfrm rot="16200000" flipH="1">
          <a:off x="19939635" y="565575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198120</xdr:colOff>
      <xdr:row>151</xdr:row>
      <xdr:rowOff>121920</xdr:rowOff>
    </xdr:from>
    <xdr:to>
      <xdr:col>72</xdr:col>
      <xdr:colOff>15240</xdr:colOff>
      <xdr:row>152</xdr:row>
      <xdr:rowOff>19050</xdr:rowOff>
    </xdr:to>
    <xdr:sp macro="" textlink="">
      <xdr:nvSpPr>
        <xdr:cNvPr id="246" name="矢印: 折線 245">
          <a:extLst>
            <a:ext uri="{FF2B5EF4-FFF2-40B4-BE49-F238E27FC236}">
              <a16:creationId xmlns:a16="http://schemas.microsoft.com/office/drawing/2014/main" id="{C1AF74A8-D4F2-41B8-9FD1-B6C9ADBA0393}"/>
            </a:ext>
          </a:extLst>
        </xdr:cNvPr>
        <xdr:cNvSpPr>
          <a:spLocks/>
        </xdr:cNvSpPr>
      </xdr:nvSpPr>
      <xdr:spPr>
        <a:xfrm rot="16200000" flipH="1">
          <a:off x="19962495" y="5690044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68</xdr:col>
      <xdr:colOff>175260</xdr:colOff>
      <xdr:row>152</xdr:row>
      <xdr:rowOff>91440</xdr:rowOff>
    </xdr:from>
    <xdr:to>
      <xdr:col>72</xdr:col>
      <xdr:colOff>99060</xdr:colOff>
      <xdr:row>152</xdr:row>
      <xdr:rowOff>369570</xdr:rowOff>
    </xdr:to>
    <xdr:sp macro="" textlink="">
      <xdr:nvSpPr>
        <xdr:cNvPr id="247" name="矢印: 折線 246">
          <a:extLst>
            <a:ext uri="{FF2B5EF4-FFF2-40B4-BE49-F238E27FC236}">
              <a16:creationId xmlns:a16="http://schemas.microsoft.com/office/drawing/2014/main" id="{4B0359A4-03E0-438C-B5AA-A007F0879D23}"/>
            </a:ext>
          </a:extLst>
        </xdr:cNvPr>
        <xdr:cNvSpPr>
          <a:spLocks/>
        </xdr:cNvSpPr>
      </xdr:nvSpPr>
      <xdr:spPr>
        <a:xfrm rot="16200000" flipH="1">
          <a:off x="19992975" y="5719762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71</xdr:col>
      <xdr:colOff>30480</xdr:colOff>
      <xdr:row>155</xdr:row>
      <xdr:rowOff>182880</xdr:rowOff>
    </xdr:from>
    <xdr:to>
      <xdr:col>74</xdr:col>
      <xdr:colOff>30480</xdr:colOff>
      <xdr:row>159</xdr:row>
      <xdr:rowOff>304800</xdr:rowOff>
    </xdr:to>
    <xdr:sp macro="" textlink="">
      <xdr:nvSpPr>
        <xdr:cNvPr id="248" name="矢印: 折線 247">
          <a:extLst>
            <a:ext uri="{FF2B5EF4-FFF2-40B4-BE49-F238E27FC236}">
              <a16:creationId xmlns:a16="http://schemas.microsoft.com/office/drawing/2014/main" id="{F4E6CAB5-5C4F-4071-A95E-076137FE8FD6}"/>
            </a:ext>
          </a:extLst>
        </xdr:cNvPr>
        <xdr:cNvSpPr>
          <a:spLocks/>
        </xdr:cNvSpPr>
      </xdr:nvSpPr>
      <xdr:spPr>
        <a:xfrm rot="10800000" flipH="1">
          <a:off x="20231100" y="58666380"/>
          <a:ext cx="617220" cy="1645920"/>
        </a:xfrm>
        <a:prstGeom prst="bentArrow">
          <a:avLst>
            <a:gd name="adj1" fmla="val 3506"/>
            <a:gd name="adj2" fmla="val 9253"/>
            <a:gd name="adj3" fmla="val 12903"/>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167640</xdr:colOff>
      <xdr:row>155</xdr:row>
      <xdr:rowOff>129540</xdr:rowOff>
    </xdr:from>
    <xdr:to>
      <xdr:col>73</xdr:col>
      <xdr:colOff>144780</xdr:colOff>
      <xdr:row>156</xdr:row>
      <xdr:rowOff>26670</xdr:rowOff>
    </xdr:to>
    <xdr:sp macro="" textlink="">
      <xdr:nvSpPr>
        <xdr:cNvPr id="249" name="矢印: 折線 248">
          <a:extLst>
            <a:ext uri="{FF2B5EF4-FFF2-40B4-BE49-F238E27FC236}">
              <a16:creationId xmlns:a16="http://schemas.microsoft.com/office/drawing/2014/main" id="{F6F9BB02-CC71-496E-AF25-1DD783D826D8}"/>
            </a:ext>
          </a:extLst>
        </xdr:cNvPr>
        <xdr:cNvSpPr>
          <a:spLocks/>
        </xdr:cNvSpPr>
      </xdr:nvSpPr>
      <xdr:spPr>
        <a:xfrm rot="16200000" flipH="1">
          <a:off x="20320635" y="584549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156</xdr:row>
      <xdr:rowOff>144780</xdr:rowOff>
    </xdr:from>
    <xdr:to>
      <xdr:col>73</xdr:col>
      <xdr:colOff>160020</xdr:colOff>
      <xdr:row>157</xdr:row>
      <xdr:rowOff>41910</xdr:rowOff>
    </xdr:to>
    <xdr:sp macro="" textlink="">
      <xdr:nvSpPr>
        <xdr:cNvPr id="250" name="矢印: 折線 249">
          <a:extLst>
            <a:ext uri="{FF2B5EF4-FFF2-40B4-BE49-F238E27FC236}">
              <a16:creationId xmlns:a16="http://schemas.microsoft.com/office/drawing/2014/main" id="{950492DA-6E43-4D7C-BC26-7A7B67132586}"/>
            </a:ext>
          </a:extLst>
        </xdr:cNvPr>
        <xdr:cNvSpPr>
          <a:spLocks/>
        </xdr:cNvSpPr>
      </xdr:nvSpPr>
      <xdr:spPr>
        <a:xfrm rot="16200000" flipH="1">
          <a:off x="20335875" y="5885116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182880</xdr:colOff>
      <xdr:row>157</xdr:row>
      <xdr:rowOff>129540</xdr:rowOff>
    </xdr:from>
    <xdr:to>
      <xdr:col>74</xdr:col>
      <xdr:colOff>0</xdr:colOff>
      <xdr:row>158</xdr:row>
      <xdr:rowOff>26670</xdr:rowOff>
    </xdr:to>
    <xdr:sp macro="" textlink="">
      <xdr:nvSpPr>
        <xdr:cNvPr id="251" name="矢印: 折線 250">
          <a:extLst>
            <a:ext uri="{FF2B5EF4-FFF2-40B4-BE49-F238E27FC236}">
              <a16:creationId xmlns:a16="http://schemas.microsoft.com/office/drawing/2014/main" id="{14D7E711-D0B5-4B7A-BAC5-6F6281F21E49}"/>
            </a:ext>
          </a:extLst>
        </xdr:cNvPr>
        <xdr:cNvSpPr>
          <a:spLocks/>
        </xdr:cNvSpPr>
      </xdr:nvSpPr>
      <xdr:spPr>
        <a:xfrm rot="16200000" flipH="1">
          <a:off x="20358735" y="59194065"/>
          <a:ext cx="278130" cy="6400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70</xdr:col>
      <xdr:colOff>160020</xdr:colOff>
      <xdr:row>158</xdr:row>
      <xdr:rowOff>99060</xdr:rowOff>
    </xdr:from>
    <xdr:to>
      <xdr:col>74</xdr:col>
      <xdr:colOff>83820</xdr:colOff>
      <xdr:row>158</xdr:row>
      <xdr:rowOff>377190</xdr:rowOff>
    </xdr:to>
    <xdr:sp macro="" textlink="">
      <xdr:nvSpPr>
        <xdr:cNvPr id="252" name="矢印: 折線 251">
          <a:extLst>
            <a:ext uri="{FF2B5EF4-FFF2-40B4-BE49-F238E27FC236}">
              <a16:creationId xmlns:a16="http://schemas.microsoft.com/office/drawing/2014/main" id="{9F9F5063-9037-4049-8040-071FC77B0F3E}"/>
            </a:ext>
          </a:extLst>
        </xdr:cNvPr>
        <xdr:cNvSpPr>
          <a:spLocks/>
        </xdr:cNvSpPr>
      </xdr:nvSpPr>
      <xdr:spPr>
        <a:xfrm rot="16200000" flipH="1">
          <a:off x="20389215" y="59491245"/>
          <a:ext cx="278130" cy="7467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73</xdr:col>
      <xdr:colOff>15240</xdr:colOff>
      <xdr:row>161</xdr:row>
      <xdr:rowOff>205740</xdr:rowOff>
    </xdr:from>
    <xdr:to>
      <xdr:col>79</xdr:col>
      <xdr:colOff>30480</xdr:colOff>
      <xdr:row>165</xdr:row>
      <xdr:rowOff>327660</xdr:rowOff>
    </xdr:to>
    <xdr:sp macro="" textlink="">
      <xdr:nvSpPr>
        <xdr:cNvPr id="253" name="矢印: 折線 252">
          <a:extLst>
            <a:ext uri="{FF2B5EF4-FFF2-40B4-BE49-F238E27FC236}">
              <a16:creationId xmlns:a16="http://schemas.microsoft.com/office/drawing/2014/main" id="{6B49CDE3-6CF3-4BB1-885A-F293944CCEBB}"/>
            </a:ext>
          </a:extLst>
        </xdr:cNvPr>
        <xdr:cNvSpPr>
          <a:spLocks/>
        </xdr:cNvSpPr>
      </xdr:nvSpPr>
      <xdr:spPr>
        <a:xfrm rot="10800000" flipH="1">
          <a:off x="20627340" y="60975240"/>
          <a:ext cx="1249680" cy="1645920"/>
        </a:xfrm>
        <a:prstGeom prst="bentArrow">
          <a:avLst>
            <a:gd name="adj1" fmla="val 3506"/>
            <a:gd name="adj2" fmla="val 5899"/>
            <a:gd name="adj3" fmla="val 8635"/>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152400</xdr:colOff>
      <xdr:row>161</xdr:row>
      <xdr:rowOff>152400</xdr:rowOff>
    </xdr:from>
    <xdr:to>
      <xdr:col>75</xdr:col>
      <xdr:colOff>129540</xdr:colOff>
      <xdr:row>162</xdr:row>
      <xdr:rowOff>49530</xdr:rowOff>
    </xdr:to>
    <xdr:sp macro="" textlink="">
      <xdr:nvSpPr>
        <xdr:cNvPr id="254" name="矢印: 折線 253">
          <a:extLst>
            <a:ext uri="{FF2B5EF4-FFF2-40B4-BE49-F238E27FC236}">
              <a16:creationId xmlns:a16="http://schemas.microsoft.com/office/drawing/2014/main" id="{8A1D2C9E-D25C-4FF1-8782-B94790C80B69}"/>
            </a:ext>
          </a:extLst>
        </xdr:cNvPr>
        <xdr:cNvSpPr>
          <a:spLocks/>
        </xdr:cNvSpPr>
      </xdr:nvSpPr>
      <xdr:spPr>
        <a:xfrm rot="16200000" flipH="1">
          <a:off x="20716875" y="607637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162</xdr:row>
      <xdr:rowOff>167640</xdr:rowOff>
    </xdr:from>
    <xdr:to>
      <xdr:col>75</xdr:col>
      <xdr:colOff>144780</xdr:colOff>
      <xdr:row>163</xdr:row>
      <xdr:rowOff>64770</xdr:rowOff>
    </xdr:to>
    <xdr:sp macro="" textlink="">
      <xdr:nvSpPr>
        <xdr:cNvPr id="255" name="矢印: 折線 254">
          <a:extLst>
            <a:ext uri="{FF2B5EF4-FFF2-40B4-BE49-F238E27FC236}">
              <a16:creationId xmlns:a16="http://schemas.microsoft.com/office/drawing/2014/main" id="{2C2E9532-1D93-4AF4-BEB4-B286A78C7BC7}"/>
            </a:ext>
          </a:extLst>
        </xdr:cNvPr>
        <xdr:cNvSpPr>
          <a:spLocks/>
        </xdr:cNvSpPr>
      </xdr:nvSpPr>
      <xdr:spPr>
        <a:xfrm rot="16200000" flipH="1">
          <a:off x="20732115" y="6116002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167640</xdr:colOff>
      <xdr:row>163</xdr:row>
      <xdr:rowOff>152400</xdr:rowOff>
    </xdr:from>
    <xdr:to>
      <xdr:col>78</xdr:col>
      <xdr:colOff>68580</xdr:colOff>
      <xdr:row>164</xdr:row>
      <xdr:rowOff>49530</xdr:rowOff>
    </xdr:to>
    <xdr:sp macro="" textlink="">
      <xdr:nvSpPr>
        <xdr:cNvPr id="256" name="矢印: 折線 255">
          <a:extLst>
            <a:ext uri="{FF2B5EF4-FFF2-40B4-BE49-F238E27FC236}">
              <a16:creationId xmlns:a16="http://schemas.microsoft.com/office/drawing/2014/main" id="{947423AA-8763-49B0-A748-8DCA4977F3D7}"/>
            </a:ext>
          </a:extLst>
        </xdr:cNvPr>
        <xdr:cNvSpPr>
          <a:spLocks/>
        </xdr:cNvSpPr>
      </xdr:nvSpPr>
      <xdr:spPr>
        <a:xfrm rot="16200000" flipH="1">
          <a:off x="21002625" y="61255275"/>
          <a:ext cx="278130" cy="11353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72</xdr:col>
      <xdr:colOff>144780</xdr:colOff>
      <xdr:row>164</xdr:row>
      <xdr:rowOff>121920</xdr:rowOff>
    </xdr:from>
    <xdr:to>
      <xdr:col>79</xdr:col>
      <xdr:colOff>53340</xdr:colOff>
      <xdr:row>165</xdr:row>
      <xdr:rowOff>19050</xdr:rowOff>
    </xdr:to>
    <xdr:sp macro="" textlink="">
      <xdr:nvSpPr>
        <xdr:cNvPr id="257" name="矢印: 折線 256">
          <a:extLst>
            <a:ext uri="{FF2B5EF4-FFF2-40B4-BE49-F238E27FC236}">
              <a16:creationId xmlns:a16="http://schemas.microsoft.com/office/drawing/2014/main" id="{85895355-5D37-44ED-B7EE-66E5BDC98F3C}"/>
            </a:ext>
          </a:extLst>
        </xdr:cNvPr>
        <xdr:cNvSpPr>
          <a:spLocks/>
        </xdr:cNvSpPr>
      </xdr:nvSpPr>
      <xdr:spPr>
        <a:xfrm rot="16200000" flipH="1">
          <a:off x="21086445" y="61499115"/>
          <a:ext cx="278130" cy="13487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106680</xdr:colOff>
      <xdr:row>167</xdr:row>
      <xdr:rowOff>251460</xdr:rowOff>
    </xdr:from>
    <xdr:to>
      <xdr:col>85</xdr:col>
      <xdr:colOff>38100</xdr:colOff>
      <xdr:row>171</xdr:row>
      <xdr:rowOff>373380</xdr:rowOff>
    </xdr:to>
    <xdr:sp macro="" textlink="">
      <xdr:nvSpPr>
        <xdr:cNvPr id="258" name="矢印: 折線 257">
          <a:extLst>
            <a:ext uri="{FF2B5EF4-FFF2-40B4-BE49-F238E27FC236}">
              <a16:creationId xmlns:a16="http://schemas.microsoft.com/office/drawing/2014/main" id="{0933BC15-235D-411A-B32E-98788F472BE0}"/>
            </a:ext>
          </a:extLst>
        </xdr:cNvPr>
        <xdr:cNvSpPr>
          <a:spLocks/>
        </xdr:cNvSpPr>
      </xdr:nvSpPr>
      <xdr:spPr>
        <a:xfrm rot="10800000" flipH="1">
          <a:off x="21747480" y="63306960"/>
          <a:ext cx="1371600" cy="16459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38100</xdr:colOff>
      <xdr:row>167</xdr:row>
      <xdr:rowOff>198120</xdr:rowOff>
    </xdr:from>
    <xdr:to>
      <xdr:col>81</xdr:col>
      <xdr:colOff>15240</xdr:colOff>
      <xdr:row>168</xdr:row>
      <xdr:rowOff>95250</xdr:rowOff>
    </xdr:to>
    <xdr:sp macro="" textlink="">
      <xdr:nvSpPr>
        <xdr:cNvPr id="259" name="矢印: 折線 258">
          <a:extLst>
            <a:ext uri="{FF2B5EF4-FFF2-40B4-BE49-F238E27FC236}">
              <a16:creationId xmlns:a16="http://schemas.microsoft.com/office/drawing/2014/main" id="{6C13D7C0-A45E-4401-9A24-331FA59D1FCE}"/>
            </a:ext>
          </a:extLst>
        </xdr:cNvPr>
        <xdr:cNvSpPr>
          <a:spLocks/>
        </xdr:cNvSpPr>
      </xdr:nvSpPr>
      <xdr:spPr>
        <a:xfrm rot="16200000" flipH="1">
          <a:off x="21837015" y="6309550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168</xdr:row>
      <xdr:rowOff>213360</xdr:rowOff>
    </xdr:from>
    <xdr:to>
      <xdr:col>81</xdr:col>
      <xdr:colOff>30480</xdr:colOff>
      <xdr:row>169</xdr:row>
      <xdr:rowOff>110490</xdr:rowOff>
    </xdr:to>
    <xdr:sp macro="" textlink="">
      <xdr:nvSpPr>
        <xdr:cNvPr id="260" name="矢印: 折線 259">
          <a:extLst>
            <a:ext uri="{FF2B5EF4-FFF2-40B4-BE49-F238E27FC236}">
              <a16:creationId xmlns:a16="http://schemas.microsoft.com/office/drawing/2014/main" id="{73153B43-A7F7-4A51-A87F-C4002C6E78FD}"/>
            </a:ext>
          </a:extLst>
        </xdr:cNvPr>
        <xdr:cNvSpPr>
          <a:spLocks/>
        </xdr:cNvSpPr>
      </xdr:nvSpPr>
      <xdr:spPr>
        <a:xfrm rot="16200000" flipH="1">
          <a:off x="21852255" y="634917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53340</xdr:colOff>
      <xdr:row>169</xdr:row>
      <xdr:rowOff>198120</xdr:rowOff>
    </xdr:from>
    <xdr:to>
      <xdr:col>82</xdr:col>
      <xdr:colOff>45720</xdr:colOff>
      <xdr:row>170</xdr:row>
      <xdr:rowOff>95250</xdr:rowOff>
    </xdr:to>
    <xdr:sp macro="" textlink="">
      <xdr:nvSpPr>
        <xdr:cNvPr id="261" name="矢印: 折線 260">
          <a:extLst>
            <a:ext uri="{FF2B5EF4-FFF2-40B4-BE49-F238E27FC236}">
              <a16:creationId xmlns:a16="http://schemas.microsoft.com/office/drawing/2014/main" id="{A6C1575E-91E2-4502-B350-EEC8AB5CFDBB}"/>
            </a:ext>
          </a:extLst>
        </xdr:cNvPr>
        <xdr:cNvSpPr>
          <a:spLocks/>
        </xdr:cNvSpPr>
      </xdr:nvSpPr>
      <xdr:spPr>
        <a:xfrm rot="16200000" flipH="1">
          <a:off x="21962745" y="63747015"/>
          <a:ext cx="278130" cy="8153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78</xdr:col>
      <xdr:colOff>30480</xdr:colOff>
      <xdr:row>170</xdr:row>
      <xdr:rowOff>167640</xdr:rowOff>
    </xdr:from>
    <xdr:to>
      <xdr:col>85</xdr:col>
      <xdr:colOff>30480</xdr:colOff>
      <xdr:row>171</xdr:row>
      <xdr:rowOff>64770</xdr:rowOff>
    </xdr:to>
    <xdr:sp macro="" textlink="">
      <xdr:nvSpPr>
        <xdr:cNvPr id="262" name="矢印: 折線 261">
          <a:extLst>
            <a:ext uri="{FF2B5EF4-FFF2-40B4-BE49-F238E27FC236}">
              <a16:creationId xmlns:a16="http://schemas.microsoft.com/office/drawing/2014/main" id="{A99755AF-4B3C-4E5B-8FDF-21C96AEF61F9}"/>
            </a:ext>
          </a:extLst>
        </xdr:cNvPr>
        <xdr:cNvSpPr>
          <a:spLocks/>
        </xdr:cNvSpPr>
      </xdr:nvSpPr>
      <xdr:spPr>
        <a:xfrm rot="16200000" flipH="1">
          <a:off x="22252305" y="63785115"/>
          <a:ext cx="278130" cy="144018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68580</xdr:colOff>
      <xdr:row>174</xdr:row>
      <xdr:rowOff>114300</xdr:rowOff>
    </xdr:from>
    <xdr:to>
      <xdr:col>87</xdr:col>
      <xdr:colOff>53340</xdr:colOff>
      <xdr:row>175</xdr:row>
      <xdr:rowOff>312420</xdr:rowOff>
    </xdr:to>
    <xdr:sp macro="" textlink="">
      <xdr:nvSpPr>
        <xdr:cNvPr id="263" name="矢印: 折線 262">
          <a:extLst>
            <a:ext uri="{FF2B5EF4-FFF2-40B4-BE49-F238E27FC236}">
              <a16:creationId xmlns:a16="http://schemas.microsoft.com/office/drawing/2014/main" id="{13F67017-B192-46A4-BD07-A3A36BF8B166}"/>
            </a:ext>
          </a:extLst>
        </xdr:cNvPr>
        <xdr:cNvSpPr>
          <a:spLocks/>
        </xdr:cNvSpPr>
      </xdr:nvSpPr>
      <xdr:spPr>
        <a:xfrm rot="10800000" flipH="1">
          <a:off x="22943820" y="65836800"/>
          <a:ext cx="601980" cy="57912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84</xdr:col>
      <xdr:colOff>7620</xdr:colOff>
      <xdr:row>174</xdr:row>
      <xdr:rowOff>114300</xdr:rowOff>
    </xdr:from>
    <xdr:to>
      <xdr:col>86</xdr:col>
      <xdr:colOff>190500</xdr:colOff>
      <xdr:row>175</xdr:row>
      <xdr:rowOff>11430</xdr:rowOff>
    </xdr:to>
    <xdr:sp macro="" textlink="">
      <xdr:nvSpPr>
        <xdr:cNvPr id="264" name="矢印: 折線 263">
          <a:extLst>
            <a:ext uri="{FF2B5EF4-FFF2-40B4-BE49-F238E27FC236}">
              <a16:creationId xmlns:a16="http://schemas.microsoft.com/office/drawing/2014/main" id="{023AB7F0-27B3-43E5-9C45-EB4552A73FC9}"/>
            </a:ext>
          </a:extLst>
        </xdr:cNvPr>
        <xdr:cNvSpPr>
          <a:spLocks/>
        </xdr:cNvSpPr>
      </xdr:nvSpPr>
      <xdr:spPr>
        <a:xfrm rot="16200000" flipH="1">
          <a:off x="23040975" y="65678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86</xdr:col>
      <xdr:colOff>38100</xdr:colOff>
      <xdr:row>179</xdr:row>
      <xdr:rowOff>175260</xdr:rowOff>
    </xdr:from>
    <xdr:to>
      <xdr:col>88</xdr:col>
      <xdr:colOff>99060</xdr:colOff>
      <xdr:row>181</xdr:row>
      <xdr:rowOff>228600</xdr:rowOff>
    </xdr:to>
    <xdr:sp macro="" textlink="">
      <xdr:nvSpPr>
        <xdr:cNvPr id="265" name="矢印: 折線 264">
          <a:extLst>
            <a:ext uri="{FF2B5EF4-FFF2-40B4-BE49-F238E27FC236}">
              <a16:creationId xmlns:a16="http://schemas.microsoft.com/office/drawing/2014/main" id="{44D896A7-3EDE-4410-9110-5912714FCEA0}"/>
            </a:ext>
          </a:extLst>
        </xdr:cNvPr>
        <xdr:cNvSpPr>
          <a:spLocks/>
        </xdr:cNvSpPr>
      </xdr:nvSpPr>
      <xdr:spPr>
        <a:xfrm rot="10800000" flipH="1">
          <a:off x="23324820" y="67802760"/>
          <a:ext cx="472440" cy="81534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175260</xdr:colOff>
      <xdr:row>179</xdr:row>
      <xdr:rowOff>99060</xdr:rowOff>
    </xdr:from>
    <xdr:to>
      <xdr:col>88</xdr:col>
      <xdr:colOff>152400</xdr:colOff>
      <xdr:row>179</xdr:row>
      <xdr:rowOff>377190</xdr:rowOff>
    </xdr:to>
    <xdr:sp macro="" textlink="">
      <xdr:nvSpPr>
        <xdr:cNvPr id="266" name="矢印: 折線 265">
          <a:extLst>
            <a:ext uri="{FF2B5EF4-FFF2-40B4-BE49-F238E27FC236}">
              <a16:creationId xmlns:a16="http://schemas.microsoft.com/office/drawing/2014/main" id="{5443A478-D279-465F-8F7E-CE88C2FD8658}"/>
            </a:ext>
          </a:extLst>
        </xdr:cNvPr>
        <xdr:cNvSpPr>
          <a:spLocks/>
        </xdr:cNvSpPr>
      </xdr:nvSpPr>
      <xdr:spPr>
        <a:xfrm rot="16200000" flipH="1">
          <a:off x="23414355" y="6756844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85</xdr:col>
      <xdr:colOff>182880</xdr:colOff>
      <xdr:row>180</xdr:row>
      <xdr:rowOff>114300</xdr:rowOff>
    </xdr:from>
    <xdr:to>
      <xdr:col>88</xdr:col>
      <xdr:colOff>160020</xdr:colOff>
      <xdr:row>181</xdr:row>
      <xdr:rowOff>11430</xdr:rowOff>
    </xdr:to>
    <xdr:sp macro="" textlink="">
      <xdr:nvSpPr>
        <xdr:cNvPr id="267" name="矢印: 折線 266">
          <a:extLst>
            <a:ext uri="{FF2B5EF4-FFF2-40B4-BE49-F238E27FC236}">
              <a16:creationId xmlns:a16="http://schemas.microsoft.com/office/drawing/2014/main" id="{7C29AD6B-8540-42EC-9FE7-AB01053FA428}"/>
            </a:ext>
          </a:extLst>
        </xdr:cNvPr>
        <xdr:cNvSpPr>
          <a:spLocks/>
        </xdr:cNvSpPr>
      </xdr:nvSpPr>
      <xdr:spPr>
        <a:xfrm rot="16200000" flipH="1">
          <a:off x="23421975" y="67964685"/>
          <a:ext cx="278130" cy="59436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160020</xdr:colOff>
      <xdr:row>183</xdr:row>
      <xdr:rowOff>167640</xdr:rowOff>
    </xdr:from>
    <xdr:to>
      <xdr:col>89</xdr:col>
      <xdr:colOff>121920</xdr:colOff>
      <xdr:row>184</xdr:row>
      <xdr:rowOff>243840</xdr:rowOff>
    </xdr:to>
    <xdr:sp macro="" textlink="">
      <xdr:nvSpPr>
        <xdr:cNvPr id="268" name="矢印: 折線 267">
          <a:extLst>
            <a:ext uri="{FF2B5EF4-FFF2-40B4-BE49-F238E27FC236}">
              <a16:creationId xmlns:a16="http://schemas.microsoft.com/office/drawing/2014/main" id="{F824A25D-CC06-4AC1-BF58-07CB12776D26}"/>
            </a:ext>
          </a:extLst>
        </xdr:cNvPr>
        <xdr:cNvSpPr>
          <a:spLocks/>
        </xdr:cNvSpPr>
      </xdr:nvSpPr>
      <xdr:spPr>
        <a:xfrm rot="10800000" flipH="1">
          <a:off x="23652480" y="69319140"/>
          <a:ext cx="37338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87</xdr:col>
      <xdr:colOff>106680</xdr:colOff>
      <xdr:row>183</xdr:row>
      <xdr:rowOff>114300</xdr:rowOff>
    </xdr:from>
    <xdr:to>
      <xdr:col>89</xdr:col>
      <xdr:colOff>91440</xdr:colOff>
      <xdr:row>184</xdr:row>
      <xdr:rowOff>11430</xdr:rowOff>
    </xdr:to>
    <xdr:sp macro="" textlink="">
      <xdr:nvSpPr>
        <xdr:cNvPr id="269" name="矢印: 折線 268">
          <a:extLst>
            <a:ext uri="{FF2B5EF4-FFF2-40B4-BE49-F238E27FC236}">
              <a16:creationId xmlns:a16="http://schemas.microsoft.com/office/drawing/2014/main" id="{12C1A90A-7F5A-46A4-9075-3A90C9EC2385}"/>
            </a:ext>
          </a:extLst>
        </xdr:cNvPr>
        <xdr:cNvSpPr>
          <a:spLocks/>
        </xdr:cNvSpPr>
      </xdr:nvSpPr>
      <xdr:spPr>
        <a:xfrm rot="16200000" flipH="1">
          <a:off x="23658195" y="6920674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49530</xdr:colOff>
      <xdr:row>187</xdr:row>
      <xdr:rowOff>179070</xdr:rowOff>
    </xdr:from>
    <xdr:to>
      <xdr:col>92</xdr:col>
      <xdr:colOff>95250</xdr:colOff>
      <xdr:row>190</xdr:row>
      <xdr:rowOff>342900</xdr:rowOff>
    </xdr:to>
    <xdr:sp macro="" textlink="">
      <xdr:nvSpPr>
        <xdr:cNvPr id="270" name="矢印: 折線 269">
          <a:extLst>
            <a:ext uri="{FF2B5EF4-FFF2-40B4-BE49-F238E27FC236}">
              <a16:creationId xmlns:a16="http://schemas.microsoft.com/office/drawing/2014/main" id="{48FE7BBC-52FA-4FA4-B862-0DE079F4468F}"/>
            </a:ext>
          </a:extLst>
        </xdr:cNvPr>
        <xdr:cNvSpPr>
          <a:spLocks/>
        </xdr:cNvSpPr>
      </xdr:nvSpPr>
      <xdr:spPr>
        <a:xfrm rot="16200000" flipH="1">
          <a:off x="23734395" y="71279385"/>
          <a:ext cx="1306830" cy="457200"/>
        </a:xfrm>
        <a:prstGeom prst="bentArrow">
          <a:avLst>
            <a:gd name="adj1" fmla="val 3506"/>
            <a:gd name="adj2" fmla="val 6197"/>
            <a:gd name="adj3" fmla="val 7347"/>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60960</xdr:colOff>
      <xdr:row>187</xdr:row>
      <xdr:rowOff>299085</xdr:rowOff>
    </xdr:from>
    <xdr:to>
      <xdr:col>93</xdr:col>
      <xdr:colOff>76199</xdr:colOff>
      <xdr:row>188</xdr:row>
      <xdr:rowOff>314325</xdr:rowOff>
    </xdr:to>
    <xdr:sp macro="" textlink="">
      <xdr:nvSpPr>
        <xdr:cNvPr id="271" name="矢印: 折線 270">
          <a:extLst>
            <a:ext uri="{FF2B5EF4-FFF2-40B4-BE49-F238E27FC236}">
              <a16:creationId xmlns:a16="http://schemas.microsoft.com/office/drawing/2014/main" id="{7B78DD3A-3742-4273-82C1-AC89B1EF9491}"/>
            </a:ext>
          </a:extLst>
        </xdr:cNvPr>
        <xdr:cNvSpPr>
          <a:spLocks/>
        </xdr:cNvSpPr>
      </xdr:nvSpPr>
      <xdr:spPr>
        <a:xfrm rot="10800000" flipH="1">
          <a:off x="24170640" y="7097458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188</xdr:row>
      <xdr:rowOff>306705</xdr:rowOff>
    </xdr:from>
    <xdr:to>
      <xdr:col>93</xdr:col>
      <xdr:colOff>68579</xdr:colOff>
      <xdr:row>189</xdr:row>
      <xdr:rowOff>321945</xdr:rowOff>
    </xdr:to>
    <xdr:sp macro="" textlink="">
      <xdr:nvSpPr>
        <xdr:cNvPr id="272" name="矢印: 折線 271">
          <a:extLst>
            <a:ext uri="{FF2B5EF4-FFF2-40B4-BE49-F238E27FC236}">
              <a16:creationId xmlns:a16="http://schemas.microsoft.com/office/drawing/2014/main" id="{CF03718F-6B42-4C0B-8561-09D085F95C6B}"/>
            </a:ext>
          </a:extLst>
        </xdr:cNvPr>
        <xdr:cNvSpPr>
          <a:spLocks/>
        </xdr:cNvSpPr>
      </xdr:nvSpPr>
      <xdr:spPr>
        <a:xfrm rot="10800000" flipH="1">
          <a:off x="24163020" y="7136320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90</xdr:col>
      <xdr:colOff>53340</xdr:colOff>
      <xdr:row>189</xdr:row>
      <xdr:rowOff>283845</xdr:rowOff>
    </xdr:from>
    <xdr:to>
      <xdr:col>93</xdr:col>
      <xdr:colOff>68579</xdr:colOff>
      <xdr:row>190</xdr:row>
      <xdr:rowOff>299085</xdr:rowOff>
    </xdr:to>
    <xdr:sp macro="" textlink="">
      <xdr:nvSpPr>
        <xdr:cNvPr id="273" name="矢印: 折線 272">
          <a:extLst>
            <a:ext uri="{FF2B5EF4-FFF2-40B4-BE49-F238E27FC236}">
              <a16:creationId xmlns:a16="http://schemas.microsoft.com/office/drawing/2014/main" id="{2AFB07B7-67BA-44C7-923E-CFB9CE7052E4}"/>
            </a:ext>
          </a:extLst>
        </xdr:cNvPr>
        <xdr:cNvSpPr>
          <a:spLocks/>
        </xdr:cNvSpPr>
      </xdr:nvSpPr>
      <xdr:spPr>
        <a:xfrm rot="10800000" flipH="1">
          <a:off x="24163020" y="71721345"/>
          <a:ext cx="632459" cy="396240"/>
        </a:xfrm>
        <a:prstGeom prst="bentArrow">
          <a:avLst>
            <a:gd name="adj1" fmla="val 13134"/>
            <a:gd name="adj2" fmla="val 19231"/>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53340</xdr:colOff>
      <xdr:row>192</xdr:row>
      <xdr:rowOff>68580</xdr:rowOff>
    </xdr:from>
    <xdr:to>
      <xdr:col>95</xdr:col>
      <xdr:colOff>68579</xdr:colOff>
      <xdr:row>193</xdr:row>
      <xdr:rowOff>297180</xdr:rowOff>
    </xdr:to>
    <xdr:sp macro="" textlink="">
      <xdr:nvSpPr>
        <xdr:cNvPr id="274" name="矢印: 折線 273">
          <a:extLst>
            <a:ext uri="{FF2B5EF4-FFF2-40B4-BE49-F238E27FC236}">
              <a16:creationId xmlns:a16="http://schemas.microsoft.com/office/drawing/2014/main" id="{1DDFA0C8-0026-488B-B29B-B06E406CA13D}"/>
            </a:ext>
          </a:extLst>
        </xdr:cNvPr>
        <xdr:cNvSpPr>
          <a:spLocks/>
        </xdr:cNvSpPr>
      </xdr:nvSpPr>
      <xdr:spPr>
        <a:xfrm rot="10800000" flipH="1">
          <a:off x="24574500" y="72649080"/>
          <a:ext cx="632459" cy="609600"/>
        </a:xfrm>
        <a:prstGeom prst="bentArrow">
          <a:avLst>
            <a:gd name="adj1" fmla="val 131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92</xdr:col>
      <xdr:colOff>45720</xdr:colOff>
      <xdr:row>192</xdr:row>
      <xdr:rowOff>91440</xdr:rowOff>
    </xdr:from>
    <xdr:to>
      <xdr:col>94</xdr:col>
      <xdr:colOff>30480</xdr:colOff>
      <xdr:row>192</xdr:row>
      <xdr:rowOff>369570</xdr:rowOff>
    </xdr:to>
    <xdr:sp macro="" textlink="">
      <xdr:nvSpPr>
        <xdr:cNvPr id="275" name="矢印: 折線 274">
          <a:extLst>
            <a:ext uri="{FF2B5EF4-FFF2-40B4-BE49-F238E27FC236}">
              <a16:creationId xmlns:a16="http://schemas.microsoft.com/office/drawing/2014/main" id="{4D80FFB5-2CF4-4ABA-A5CA-652A84612636}"/>
            </a:ext>
          </a:extLst>
        </xdr:cNvPr>
        <xdr:cNvSpPr>
          <a:spLocks/>
        </xdr:cNvSpPr>
      </xdr:nvSpPr>
      <xdr:spPr>
        <a:xfrm rot="16200000" flipH="1">
          <a:off x="24625935" y="7261288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137160</xdr:colOff>
      <xdr:row>196</xdr:row>
      <xdr:rowOff>160020</xdr:rowOff>
    </xdr:from>
    <xdr:to>
      <xdr:col>96</xdr:col>
      <xdr:colOff>152399</xdr:colOff>
      <xdr:row>198</xdr:row>
      <xdr:rowOff>228600</xdr:rowOff>
    </xdr:to>
    <xdr:sp macro="" textlink="">
      <xdr:nvSpPr>
        <xdr:cNvPr id="276" name="矢印: 折線 275">
          <a:extLst>
            <a:ext uri="{FF2B5EF4-FFF2-40B4-BE49-F238E27FC236}">
              <a16:creationId xmlns:a16="http://schemas.microsoft.com/office/drawing/2014/main" id="{50D582CB-6E6B-4A5E-A572-00E34BFA2748}"/>
            </a:ext>
          </a:extLst>
        </xdr:cNvPr>
        <xdr:cNvSpPr>
          <a:spLocks/>
        </xdr:cNvSpPr>
      </xdr:nvSpPr>
      <xdr:spPr>
        <a:xfrm rot="10800000" flipH="1">
          <a:off x="24864060" y="74264520"/>
          <a:ext cx="632459" cy="8305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91440</xdr:colOff>
      <xdr:row>196</xdr:row>
      <xdr:rowOff>121920</xdr:rowOff>
    </xdr:from>
    <xdr:to>
      <xdr:col>95</xdr:col>
      <xdr:colOff>76200</xdr:colOff>
      <xdr:row>197</xdr:row>
      <xdr:rowOff>19050</xdr:rowOff>
    </xdr:to>
    <xdr:sp macro="" textlink="">
      <xdr:nvSpPr>
        <xdr:cNvPr id="277" name="矢印: 折線 276">
          <a:extLst>
            <a:ext uri="{FF2B5EF4-FFF2-40B4-BE49-F238E27FC236}">
              <a16:creationId xmlns:a16="http://schemas.microsoft.com/office/drawing/2014/main" id="{39ABDDEB-F15A-40F5-A379-D9FB0CA39C8B}"/>
            </a:ext>
          </a:extLst>
        </xdr:cNvPr>
        <xdr:cNvSpPr>
          <a:spLocks/>
        </xdr:cNvSpPr>
      </xdr:nvSpPr>
      <xdr:spPr>
        <a:xfrm rot="16200000" flipH="1">
          <a:off x="24877395" y="74167365"/>
          <a:ext cx="278130" cy="39624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93</xdr:col>
      <xdr:colOff>76200</xdr:colOff>
      <xdr:row>197</xdr:row>
      <xdr:rowOff>160020</xdr:rowOff>
    </xdr:from>
    <xdr:to>
      <xdr:col>96</xdr:col>
      <xdr:colOff>38100</xdr:colOff>
      <xdr:row>198</xdr:row>
      <xdr:rowOff>57150</xdr:rowOff>
    </xdr:to>
    <xdr:sp macro="" textlink="">
      <xdr:nvSpPr>
        <xdr:cNvPr id="278" name="矢印: 折線 277">
          <a:extLst>
            <a:ext uri="{FF2B5EF4-FFF2-40B4-BE49-F238E27FC236}">
              <a16:creationId xmlns:a16="http://schemas.microsoft.com/office/drawing/2014/main" id="{E44AC663-529B-47E6-8CBA-6B279341EA33}"/>
            </a:ext>
          </a:extLst>
        </xdr:cNvPr>
        <xdr:cNvSpPr>
          <a:spLocks/>
        </xdr:cNvSpPr>
      </xdr:nvSpPr>
      <xdr:spPr>
        <a:xfrm rot="16200000" flipH="1">
          <a:off x="24953595" y="74495025"/>
          <a:ext cx="278130" cy="57912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200</xdr:row>
      <xdr:rowOff>99060</xdr:rowOff>
    </xdr:from>
    <xdr:to>
      <xdr:col>99</xdr:col>
      <xdr:colOff>68579</xdr:colOff>
      <xdr:row>201</xdr:row>
      <xdr:rowOff>289560</xdr:rowOff>
    </xdr:to>
    <xdr:sp macro="" textlink="">
      <xdr:nvSpPr>
        <xdr:cNvPr id="279" name="矢印: 折線 278">
          <a:extLst>
            <a:ext uri="{FF2B5EF4-FFF2-40B4-BE49-F238E27FC236}">
              <a16:creationId xmlns:a16="http://schemas.microsoft.com/office/drawing/2014/main" id="{506CA72E-13B6-4E3A-B74A-185170DE80E9}"/>
            </a:ext>
          </a:extLst>
        </xdr:cNvPr>
        <xdr:cNvSpPr>
          <a:spLocks/>
        </xdr:cNvSpPr>
      </xdr:nvSpPr>
      <xdr:spPr>
        <a:xfrm rot="10800000" flipH="1">
          <a:off x="25687020" y="75727560"/>
          <a:ext cx="342899" cy="57150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76200</xdr:colOff>
      <xdr:row>200</xdr:row>
      <xdr:rowOff>106680</xdr:rowOff>
    </xdr:from>
    <xdr:to>
      <xdr:col>99</xdr:col>
      <xdr:colOff>83820</xdr:colOff>
      <xdr:row>201</xdr:row>
      <xdr:rowOff>57150</xdr:rowOff>
    </xdr:to>
    <xdr:sp macro="" textlink="">
      <xdr:nvSpPr>
        <xdr:cNvPr id="280" name="矢印: 折線 279">
          <a:extLst>
            <a:ext uri="{FF2B5EF4-FFF2-40B4-BE49-F238E27FC236}">
              <a16:creationId xmlns:a16="http://schemas.microsoft.com/office/drawing/2014/main" id="{A9BC69F0-E6E6-4053-9CBD-C90898EA0CD1}"/>
            </a:ext>
          </a:extLst>
        </xdr:cNvPr>
        <xdr:cNvSpPr>
          <a:spLocks/>
        </xdr:cNvSpPr>
      </xdr:nvSpPr>
      <xdr:spPr>
        <a:xfrm rot="16200000" flipH="1">
          <a:off x="25669875" y="756913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198120</xdr:colOff>
      <xdr:row>204</xdr:row>
      <xdr:rowOff>198120</xdr:rowOff>
    </xdr:from>
    <xdr:to>
      <xdr:col>99</xdr:col>
      <xdr:colOff>129539</xdr:colOff>
      <xdr:row>206</xdr:row>
      <xdr:rowOff>228600</xdr:rowOff>
    </xdr:to>
    <xdr:sp macro="" textlink="">
      <xdr:nvSpPr>
        <xdr:cNvPr id="281" name="矢印: 折線 280">
          <a:extLst>
            <a:ext uri="{FF2B5EF4-FFF2-40B4-BE49-F238E27FC236}">
              <a16:creationId xmlns:a16="http://schemas.microsoft.com/office/drawing/2014/main" id="{5286C20A-D202-45EF-A38F-25837DF6ED60}"/>
            </a:ext>
          </a:extLst>
        </xdr:cNvPr>
        <xdr:cNvSpPr>
          <a:spLocks/>
        </xdr:cNvSpPr>
      </xdr:nvSpPr>
      <xdr:spPr>
        <a:xfrm rot="10800000" flipH="1">
          <a:off x="25747980" y="77350620"/>
          <a:ext cx="342899" cy="7924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137160</xdr:colOff>
      <xdr:row>204</xdr:row>
      <xdr:rowOff>144780</xdr:rowOff>
    </xdr:from>
    <xdr:to>
      <xdr:col>99</xdr:col>
      <xdr:colOff>144780</xdr:colOff>
      <xdr:row>205</xdr:row>
      <xdr:rowOff>95250</xdr:rowOff>
    </xdr:to>
    <xdr:sp macro="" textlink="">
      <xdr:nvSpPr>
        <xdr:cNvPr id="282" name="矢印: 折線 281">
          <a:extLst>
            <a:ext uri="{FF2B5EF4-FFF2-40B4-BE49-F238E27FC236}">
              <a16:creationId xmlns:a16="http://schemas.microsoft.com/office/drawing/2014/main" id="{701BA8C8-5DE4-4A27-8EA9-4E86C66DFAC2}"/>
            </a:ext>
          </a:extLst>
        </xdr:cNvPr>
        <xdr:cNvSpPr>
          <a:spLocks/>
        </xdr:cNvSpPr>
      </xdr:nvSpPr>
      <xdr:spPr>
        <a:xfrm rot="16200000" flipH="1">
          <a:off x="25730835" y="77253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97</xdr:col>
      <xdr:colOff>129540</xdr:colOff>
      <xdr:row>205</xdr:row>
      <xdr:rowOff>129540</xdr:rowOff>
    </xdr:from>
    <xdr:to>
      <xdr:col>99</xdr:col>
      <xdr:colOff>137160</xdr:colOff>
      <xdr:row>206</xdr:row>
      <xdr:rowOff>80010</xdr:rowOff>
    </xdr:to>
    <xdr:sp macro="" textlink="">
      <xdr:nvSpPr>
        <xdr:cNvPr id="283" name="矢印: 折線 282">
          <a:extLst>
            <a:ext uri="{FF2B5EF4-FFF2-40B4-BE49-F238E27FC236}">
              <a16:creationId xmlns:a16="http://schemas.microsoft.com/office/drawing/2014/main" id="{92AC6579-9476-41F4-A3AE-1AC78593E246}"/>
            </a:ext>
          </a:extLst>
        </xdr:cNvPr>
        <xdr:cNvSpPr>
          <a:spLocks/>
        </xdr:cNvSpPr>
      </xdr:nvSpPr>
      <xdr:spPr>
        <a:xfrm rot="16200000" flipH="1">
          <a:off x="25723215" y="776192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208</xdr:row>
      <xdr:rowOff>144780</xdr:rowOff>
    </xdr:from>
    <xdr:to>
      <xdr:col>100</xdr:col>
      <xdr:colOff>99059</xdr:colOff>
      <xdr:row>209</xdr:row>
      <xdr:rowOff>251460</xdr:rowOff>
    </xdr:to>
    <xdr:sp macro="" textlink="">
      <xdr:nvSpPr>
        <xdr:cNvPr id="284" name="矢印: 折線 283">
          <a:extLst>
            <a:ext uri="{FF2B5EF4-FFF2-40B4-BE49-F238E27FC236}">
              <a16:creationId xmlns:a16="http://schemas.microsoft.com/office/drawing/2014/main" id="{8E4E4D4C-78C5-45E8-84B2-3A91654527FD}"/>
            </a:ext>
          </a:extLst>
        </xdr:cNvPr>
        <xdr:cNvSpPr>
          <a:spLocks/>
        </xdr:cNvSpPr>
      </xdr:nvSpPr>
      <xdr:spPr>
        <a:xfrm rot="10800000" flipH="1">
          <a:off x="25946100" y="78821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208</xdr:row>
      <xdr:rowOff>144780</xdr:rowOff>
    </xdr:from>
    <xdr:to>
      <xdr:col>100</xdr:col>
      <xdr:colOff>137160</xdr:colOff>
      <xdr:row>209</xdr:row>
      <xdr:rowOff>95250</xdr:rowOff>
    </xdr:to>
    <xdr:sp macro="" textlink="">
      <xdr:nvSpPr>
        <xdr:cNvPr id="285" name="矢印: 折線 284">
          <a:extLst>
            <a:ext uri="{FF2B5EF4-FFF2-40B4-BE49-F238E27FC236}">
              <a16:creationId xmlns:a16="http://schemas.microsoft.com/office/drawing/2014/main" id="{DEF64DFF-42C6-492D-B62B-C4EAA821475D}"/>
            </a:ext>
          </a:extLst>
        </xdr:cNvPr>
        <xdr:cNvSpPr>
          <a:spLocks/>
        </xdr:cNvSpPr>
      </xdr:nvSpPr>
      <xdr:spPr>
        <a:xfrm rot="16200000" flipH="1">
          <a:off x="25928955" y="78777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175260</xdr:colOff>
      <xdr:row>212</xdr:row>
      <xdr:rowOff>137160</xdr:rowOff>
    </xdr:from>
    <xdr:to>
      <xdr:col>100</xdr:col>
      <xdr:colOff>83819</xdr:colOff>
      <xdr:row>213</xdr:row>
      <xdr:rowOff>243840</xdr:rowOff>
    </xdr:to>
    <xdr:sp macro="" textlink="">
      <xdr:nvSpPr>
        <xdr:cNvPr id="286" name="矢印: 折線 285">
          <a:extLst>
            <a:ext uri="{FF2B5EF4-FFF2-40B4-BE49-F238E27FC236}">
              <a16:creationId xmlns:a16="http://schemas.microsoft.com/office/drawing/2014/main" id="{17492CA2-0CA2-48D3-928D-01EF4F6CBEE4}"/>
            </a:ext>
          </a:extLst>
        </xdr:cNvPr>
        <xdr:cNvSpPr>
          <a:spLocks/>
        </xdr:cNvSpPr>
      </xdr:nvSpPr>
      <xdr:spPr>
        <a:xfrm rot="10800000" flipH="1">
          <a:off x="25930860" y="80337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114300</xdr:colOff>
      <xdr:row>212</xdr:row>
      <xdr:rowOff>137160</xdr:rowOff>
    </xdr:from>
    <xdr:to>
      <xdr:col>100</xdr:col>
      <xdr:colOff>121920</xdr:colOff>
      <xdr:row>213</xdr:row>
      <xdr:rowOff>87630</xdr:rowOff>
    </xdr:to>
    <xdr:sp macro="" textlink="">
      <xdr:nvSpPr>
        <xdr:cNvPr id="287" name="矢印: 折線 286">
          <a:extLst>
            <a:ext uri="{FF2B5EF4-FFF2-40B4-BE49-F238E27FC236}">
              <a16:creationId xmlns:a16="http://schemas.microsoft.com/office/drawing/2014/main" id="{ED1599D5-7CD2-468C-A706-05BDC2BC2A76}"/>
            </a:ext>
          </a:extLst>
        </xdr:cNvPr>
        <xdr:cNvSpPr>
          <a:spLocks/>
        </xdr:cNvSpPr>
      </xdr:nvSpPr>
      <xdr:spPr>
        <a:xfrm rot="16200000" flipH="1">
          <a:off x="25913715" y="80293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190500</xdr:colOff>
      <xdr:row>215</xdr:row>
      <xdr:rowOff>182880</xdr:rowOff>
    </xdr:from>
    <xdr:to>
      <xdr:col>100</xdr:col>
      <xdr:colOff>99059</xdr:colOff>
      <xdr:row>216</xdr:row>
      <xdr:rowOff>289560</xdr:rowOff>
    </xdr:to>
    <xdr:sp macro="" textlink="">
      <xdr:nvSpPr>
        <xdr:cNvPr id="288" name="矢印: 折線 287">
          <a:extLst>
            <a:ext uri="{FF2B5EF4-FFF2-40B4-BE49-F238E27FC236}">
              <a16:creationId xmlns:a16="http://schemas.microsoft.com/office/drawing/2014/main" id="{5E845BBB-F84F-4E70-9004-6E109B707FC9}"/>
            </a:ext>
          </a:extLst>
        </xdr:cNvPr>
        <xdr:cNvSpPr>
          <a:spLocks/>
        </xdr:cNvSpPr>
      </xdr:nvSpPr>
      <xdr:spPr>
        <a:xfrm rot="10800000" flipH="1">
          <a:off x="25946100" y="815263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129540</xdr:colOff>
      <xdr:row>215</xdr:row>
      <xdr:rowOff>182880</xdr:rowOff>
    </xdr:from>
    <xdr:to>
      <xdr:col>100</xdr:col>
      <xdr:colOff>137160</xdr:colOff>
      <xdr:row>216</xdr:row>
      <xdr:rowOff>133350</xdr:rowOff>
    </xdr:to>
    <xdr:sp macro="" textlink="">
      <xdr:nvSpPr>
        <xdr:cNvPr id="289" name="矢印: 折線 288">
          <a:extLst>
            <a:ext uri="{FF2B5EF4-FFF2-40B4-BE49-F238E27FC236}">
              <a16:creationId xmlns:a16="http://schemas.microsoft.com/office/drawing/2014/main" id="{C26C9C8E-563B-4A90-AE18-284E4A139CF6}"/>
            </a:ext>
          </a:extLst>
        </xdr:cNvPr>
        <xdr:cNvSpPr>
          <a:spLocks/>
        </xdr:cNvSpPr>
      </xdr:nvSpPr>
      <xdr:spPr>
        <a:xfrm rot="16200000" flipH="1">
          <a:off x="25928955" y="81482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xdr:colOff>
      <xdr:row>218</xdr:row>
      <xdr:rowOff>175260</xdr:rowOff>
    </xdr:from>
    <xdr:to>
      <xdr:col>100</xdr:col>
      <xdr:colOff>129539</xdr:colOff>
      <xdr:row>219</xdr:row>
      <xdr:rowOff>281940</xdr:rowOff>
    </xdr:to>
    <xdr:sp macro="" textlink="">
      <xdr:nvSpPr>
        <xdr:cNvPr id="290" name="矢印: 折線 289">
          <a:extLst>
            <a:ext uri="{FF2B5EF4-FFF2-40B4-BE49-F238E27FC236}">
              <a16:creationId xmlns:a16="http://schemas.microsoft.com/office/drawing/2014/main" id="{2730B860-7A2E-419A-9394-0048D1073996}"/>
            </a:ext>
          </a:extLst>
        </xdr:cNvPr>
        <xdr:cNvSpPr>
          <a:spLocks/>
        </xdr:cNvSpPr>
      </xdr:nvSpPr>
      <xdr:spPr>
        <a:xfrm rot="10800000" flipH="1">
          <a:off x="25976580" y="82661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160020</xdr:colOff>
      <xdr:row>218</xdr:row>
      <xdr:rowOff>175260</xdr:rowOff>
    </xdr:from>
    <xdr:to>
      <xdr:col>100</xdr:col>
      <xdr:colOff>167640</xdr:colOff>
      <xdr:row>219</xdr:row>
      <xdr:rowOff>125730</xdr:rowOff>
    </xdr:to>
    <xdr:sp macro="" textlink="">
      <xdr:nvSpPr>
        <xdr:cNvPr id="291" name="矢印: 折線 290">
          <a:extLst>
            <a:ext uri="{FF2B5EF4-FFF2-40B4-BE49-F238E27FC236}">
              <a16:creationId xmlns:a16="http://schemas.microsoft.com/office/drawing/2014/main" id="{B0686D2D-C71B-42AF-913C-94EEDD4436BD}"/>
            </a:ext>
          </a:extLst>
        </xdr:cNvPr>
        <xdr:cNvSpPr>
          <a:spLocks/>
        </xdr:cNvSpPr>
      </xdr:nvSpPr>
      <xdr:spPr>
        <a:xfrm rot="16200000" flipH="1">
          <a:off x="25959435" y="82617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0</xdr:colOff>
      <xdr:row>221</xdr:row>
      <xdr:rowOff>175260</xdr:rowOff>
    </xdr:from>
    <xdr:to>
      <xdr:col>100</xdr:col>
      <xdr:colOff>114299</xdr:colOff>
      <xdr:row>222</xdr:row>
      <xdr:rowOff>281940</xdr:rowOff>
    </xdr:to>
    <xdr:sp macro="" textlink="">
      <xdr:nvSpPr>
        <xdr:cNvPr id="292" name="矢印: 折線 291">
          <a:extLst>
            <a:ext uri="{FF2B5EF4-FFF2-40B4-BE49-F238E27FC236}">
              <a16:creationId xmlns:a16="http://schemas.microsoft.com/office/drawing/2014/main" id="{B43CF180-FF1D-434A-95CA-2AD37D16C541}"/>
            </a:ext>
          </a:extLst>
        </xdr:cNvPr>
        <xdr:cNvSpPr>
          <a:spLocks/>
        </xdr:cNvSpPr>
      </xdr:nvSpPr>
      <xdr:spPr>
        <a:xfrm rot="10800000" flipH="1">
          <a:off x="25961340" y="83804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98</xdr:col>
      <xdr:colOff>144780</xdr:colOff>
      <xdr:row>221</xdr:row>
      <xdr:rowOff>175260</xdr:rowOff>
    </xdr:from>
    <xdr:to>
      <xdr:col>100</xdr:col>
      <xdr:colOff>152400</xdr:colOff>
      <xdr:row>222</xdr:row>
      <xdr:rowOff>125730</xdr:rowOff>
    </xdr:to>
    <xdr:sp macro="" textlink="">
      <xdr:nvSpPr>
        <xdr:cNvPr id="293" name="矢印: 折線 292">
          <a:extLst>
            <a:ext uri="{FF2B5EF4-FFF2-40B4-BE49-F238E27FC236}">
              <a16:creationId xmlns:a16="http://schemas.microsoft.com/office/drawing/2014/main" id="{C2A0259B-673D-42F5-BC98-ECE257BD6F74}"/>
            </a:ext>
          </a:extLst>
        </xdr:cNvPr>
        <xdr:cNvSpPr>
          <a:spLocks/>
        </xdr:cNvSpPr>
      </xdr:nvSpPr>
      <xdr:spPr>
        <a:xfrm rot="16200000" flipH="1">
          <a:off x="25944195" y="83760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152400</xdr:colOff>
      <xdr:row>224</xdr:row>
      <xdr:rowOff>137160</xdr:rowOff>
    </xdr:from>
    <xdr:to>
      <xdr:col>101</xdr:col>
      <xdr:colOff>60959</xdr:colOff>
      <xdr:row>225</xdr:row>
      <xdr:rowOff>243840</xdr:rowOff>
    </xdr:to>
    <xdr:sp macro="" textlink="">
      <xdr:nvSpPr>
        <xdr:cNvPr id="294" name="矢印: 折線 293">
          <a:extLst>
            <a:ext uri="{FF2B5EF4-FFF2-40B4-BE49-F238E27FC236}">
              <a16:creationId xmlns:a16="http://schemas.microsoft.com/office/drawing/2014/main" id="{C428C615-263B-46FD-8891-EDC51F9E7B98}"/>
            </a:ext>
          </a:extLst>
        </xdr:cNvPr>
        <xdr:cNvSpPr>
          <a:spLocks/>
        </xdr:cNvSpPr>
      </xdr:nvSpPr>
      <xdr:spPr>
        <a:xfrm rot="10800000" flipH="1">
          <a:off x="26113740" y="849096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91440</xdr:colOff>
      <xdr:row>224</xdr:row>
      <xdr:rowOff>137160</xdr:rowOff>
    </xdr:from>
    <xdr:to>
      <xdr:col>101</xdr:col>
      <xdr:colOff>99060</xdr:colOff>
      <xdr:row>225</xdr:row>
      <xdr:rowOff>87630</xdr:rowOff>
    </xdr:to>
    <xdr:sp macro="" textlink="">
      <xdr:nvSpPr>
        <xdr:cNvPr id="295" name="矢印: 折線 294">
          <a:extLst>
            <a:ext uri="{FF2B5EF4-FFF2-40B4-BE49-F238E27FC236}">
              <a16:creationId xmlns:a16="http://schemas.microsoft.com/office/drawing/2014/main" id="{5EFAAD9E-347E-4836-B4BF-B45AD2280905}"/>
            </a:ext>
          </a:extLst>
        </xdr:cNvPr>
        <xdr:cNvSpPr>
          <a:spLocks/>
        </xdr:cNvSpPr>
      </xdr:nvSpPr>
      <xdr:spPr>
        <a:xfrm rot="16200000" flipH="1">
          <a:off x="26096595" y="848658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227</xdr:row>
      <xdr:rowOff>152400</xdr:rowOff>
    </xdr:from>
    <xdr:to>
      <xdr:col>101</xdr:col>
      <xdr:colOff>137159</xdr:colOff>
      <xdr:row>228</xdr:row>
      <xdr:rowOff>259080</xdr:rowOff>
    </xdr:to>
    <xdr:sp macro="" textlink="">
      <xdr:nvSpPr>
        <xdr:cNvPr id="296" name="矢印: 折線 295">
          <a:extLst>
            <a:ext uri="{FF2B5EF4-FFF2-40B4-BE49-F238E27FC236}">
              <a16:creationId xmlns:a16="http://schemas.microsoft.com/office/drawing/2014/main" id="{487449D3-D935-46D8-8C48-B06D6C36CC5B}"/>
            </a:ext>
          </a:extLst>
        </xdr:cNvPr>
        <xdr:cNvSpPr>
          <a:spLocks/>
        </xdr:cNvSpPr>
      </xdr:nvSpPr>
      <xdr:spPr>
        <a:xfrm rot="10800000" flipH="1">
          <a:off x="26189940" y="86067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227</xdr:row>
      <xdr:rowOff>152400</xdr:rowOff>
    </xdr:from>
    <xdr:to>
      <xdr:col>101</xdr:col>
      <xdr:colOff>175260</xdr:colOff>
      <xdr:row>228</xdr:row>
      <xdr:rowOff>102870</xdr:rowOff>
    </xdr:to>
    <xdr:sp macro="" textlink="">
      <xdr:nvSpPr>
        <xdr:cNvPr id="297" name="矢印: 折線 296">
          <a:extLst>
            <a:ext uri="{FF2B5EF4-FFF2-40B4-BE49-F238E27FC236}">
              <a16:creationId xmlns:a16="http://schemas.microsoft.com/office/drawing/2014/main" id="{225980B5-1B32-4CF9-99F3-21C1E8D0F8A0}"/>
            </a:ext>
          </a:extLst>
        </xdr:cNvPr>
        <xdr:cNvSpPr>
          <a:spLocks/>
        </xdr:cNvSpPr>
      </xdr:nvSpPr>
      <xdr:spPr>
        <a:xfrm rot="16200000" flipH="1">
          <a:off x="26172795" y="86024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45720</xdr:colOff>
      <xdr:row>230</xdr:row>
      <xdr:rowOff>144780</xdr:rowOff>
    </xdr:from>
    <xdr:to>
      <xdr:col>101</xdr:col>
      <xdr:colOff>160019</xdr:colOff>
      <xdr:row>231</xdr:row>
      <xdr:rowOff>251460</xdr:rowOff>
    </xdr:to>
    <xdr:sp macro="" textlink="">
      <xdr:nvSpPr>
        <xdr:cNvPr id="298" name="矢印: 折線 297">
          <a:extLst>
            <a:ext uri="{FF2B5EF4-FFF2-40B4-BE49-F238E27FC236}">
              <a16:creationId xmlns:a16="http://schemas.microsoft.com/office/drawing/2014/main" id="{566AB1C7-3AE9-4F51-B00A-EB6C1B450E80}"/>
            </a:ext>
          </a:extLst>
        </xdr:cNvPr>
        <xdr:cNvSpPr>
          <a:spLocks/>
        </xdr:cNvSpPr>
      </xdr:nvSpPr>
      <xdr:spPr>
        <a:xfrm rot="10800000" flipH="1">
          <a:off x="26212800" y="87203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190500</xdr:colOff>
      <xdr:row>230</xdr:row>
      <xdr:rowOff>144780</xdr:rowOff>
    </xdr:from>
    <xdr:to>
      <xdr:col>101</xdr:col>
      <xdr:colOff>198120</xdr:colOff>
      <xdr:row>231</xdr:row>
      <xdr:rowOff>95250</xdr:rowOff>
    </xdr:to>
    <xdr:sp macro="" textlink="">
      <xdr:nvSpPr>
        <xdr:cNvPr id="299" name="矢印: 折線 298">
          <a:extLst>
            <a:ext uri="{FF2B5EF4-FFF2-40B4-BE49-F238E27FC236}">
              <a16:creationId xmlns:a16="http://schemas.microsoft.com/office/drawing/2014/main" id="{6E4A8F1A-2BD0-4B56-B73E-76385D0DB967}"/>
            </a:ext>
          </a:extLst>
        </xdr:cNvPr>
        <xdr:cNvSpPr>
          <a:spLocks/>
        </xdr:cNvSpPr>
      </xdr:nvSpPr>
      <xdr:spPr>
        <a:xfrm rot="16200000" flipH="1">
          <a:off x="26195655" y="87159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22860</xdr:colOff>
      <xdr:row>233</xdr:row>
      <xdr:rowOff>160020</xdr:rowOff>
    </xdr:from>
    <xdr:to>
      <xdr:col>101</xdr:col>
      <xdr:colOff>137159</xdr:colOff>
      <xdr:row>234</xdr:row>
      <xdr:rowOff>266700</xdr:rowOff>
    </xdr:to>
    <xdr:sp macro="" textlink="">
      <xdr:nvSpPr>
        <xdr:cNvPr id="300" name="矢印: 折線 299">
          <a:extLst>
            <a:ext uri="{FF2B5EF4-FFF2-40B4-BE49-F238E27FC236}">
              <a16:creationId xmlns:a16="http://schemas.microsoft.com/office/drawing/2014/main" id="{3C3734AD-F606-4F35-816F-579DA81D102F}"/>
            </a:ext>
          </a:extLst>
        </xdr:cNvPr>
        <xdr:cNvSpPr>
          <a:spLocks/>
        </xdr:cNvSpPr>
      </xdr:nvSpPr>
      <xdr:spPr>
        <a:xfrm rot="10800000" flipH="1">
          <a:off x="26189940" y="8836152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99</xdr:col>
      <xdr:colOff>167640</xdr:colOff>
      <xdr:row>233</xdr:row>
      <xdr:rowOff>160020</xdr:rowOff>
    </xdr:from>
    <xdr:to>
      <xdr:col>101</xdr:col>
      <xdr:colOff>175260</xdr:colOff>
      <xdr:row>234</xdr:row>
      <xdr:rowOff>110490</xdr:rowOff>
    </xdr:to>
    <xdr:sp macro="" textlink="">
      <xdr:nvSpPr>
        <xdr:cNvPr id="301" name="矢印: 折線 300">
          <a:extLst>
            <a:ext uri="{FF2B5EF4-FFF2-40B4-BE49-F238E27FC236}">
              <a16:creationId xmlns:a16="http://schemas.microsoft.com/office/drawing/2014/main" id="{51450337-7FCE-41B7-A039-010EA20D449B}"/>
            </a:ext>
          </a:extLst>
        </xdr:cNvPr>
        <xdr:cNvSpPr>
          <a:spLocks/>
        </xdr:cNvSpPr>
      </xdr:nvSpPr>
      <xdr:spPr>
        <a:xfrm rot="16200000" flipH="1">
          <a:off x="26172795" y="8831770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22860</xdr:colOff>
      <xdr:row>236</xdr:row>
      <xdr:rowOff>144780</xdr:rowOff>
    </xdr:from>
    <xdr:to>
      <xdr:col>102</xdr:col>
      <xdr:colOff>137159</xdr:colOff>
      <xdr:row>237</xdr:row>
      <xdr:rowOff>251460</xdr:rowOff>
    </xdr:to>
    <xdr:sp macro="" textlink="">
      <xdr:nvSpPr>
        <xdr:cNvPr id="302" name="矢印: 折線 301">
          <a:extLst>
            <a:ext uri="{FF2B5EF4-FFF2-40B4-BE49-F238E27FC236}">
              <a16:creationId xmlns:a16="http://schemas.microsoft.com/office/drawing/2014/main" id="{31902BD3-3AA0-45B5-ACC8-C71AEF678872}"/>
            </a:ext>
          </a:extLst>
        </xdr:cNvPr>
        <xdr:cNvSpPr>
          <a:spLocks/>
        </xdr:cNvSpPr>
      </xdr:nvSpPr>
      <xdr:spPr>
        <a:xfrm rot="10800000" flipH="1">
          <a:off x="26395680" y="8948928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167640</xdr:colOff>
      <xdr:row>236</xdr:row>
      <xdr:rowOff>144780</xdr:rowOff>
    </xdr:from>
    <xdr:to>
      <xdr:col>102</xdr:col>
      <xdr:colOff>175260</xdr:colOff>
      <xdr:row>237</xdr:row>
      <xdr:rowOff>95250</xdr:rowOff>
    </xdr:to>
    <xdr:sp macro="" textlink="">
      <xdr:nvSpPr>
        <xdr:cNvPr id="303" name="矢印: 折線 302">
          <a:extLst>
            <a:ext uri="{FF2B5EF4-FFF2-40B4-BE49-F238E27FC236}">
              <a16:creationId xmlns:a16="http://schemas.microsoft.com/office/drawing/2014/main" id="{BE2ABA22-A58D-4EC3-9A1E-6ACCEDB40C17}"/>
            </a:ext>
          </a:extLst>
        </xdr:cNvPr>
        <xdr:cNvSpPr>
          <a:spLocks/>
        </xdr:cNvSpPr>
      </xdr:nvSpPr>
      <xdr:spPr>
        <a:xfrm rot="16200000" flipH="1">
          <a:off x="26378535" y="894454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239</xdr:row>
      <xdr:rowOff>167640</xdr:rowOff>
    </xdr:from>
    <xdr:to>
      <xdr:col>102</xdr:col>
      <xdr:colOff>129539</xdr:colOff>
      <xdr:row>240</xdr:row>
      <xdr:rowOff>274320</xdr:rowOff>
    </xdr:to>
    <xdr:sp macro="" textlink="">
      <xdr:nvSpPr>
        <xdr:cNvPr id="304" name="矢印: 折線 303">
          <a:extLst>
            <a:ext uri="{FF2B5EF4-FFF2-40B4-BE49-F238E27FC236}">
              <a16:creationId xmlns:a16="http://schemas.microsoft.com/office/drawing/2014/main" id="{199214AA-8234-4F11-81E1-AB7FA77EDBA9}"/>
            </a:ext>
          </a:extLst>
        </xdr:cNvPr>
        <xdr:cNvSpPr>
          <a:spLocks/>
        </xdr:cNvSpPr>
      </xdr:nvSpPr>
      <xdr:spPr>
        <a:xfrm rot="10800000" flipH="1">
          <a:off x="26388060" y="9065514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239</xdr:row>
      <xdr:rowOff>167640</xdr:rowOff>
    </xdr:from>
    <xdr:to>
      <xdr:col>102</xdr:col>
      <xdr:colOff>167640</xdr:colOff>
      <xdr:row>240</xdr:row>
      <xdr:rowOff>118110</xdr:rowOff>
    </xdr:to>
    <xdr:sp macro="" textlink="">
      <xdr:nvSpPr>
        <xdr:cNvPr id="305" name="矢印: 折線 304">
          <a:extLst>
            <a:ext uri="{FF2B5EF4-FFF2-40B4-BE49-F238E27FC236}">
              <a16:creationId xmlns:a16="http://schemas.microsoft.com/office/drawing/2014/main" id="{AA4DEDE3-C944-41E6-8909-7C102C13A4D6}"/>
            </a:ext>
          </a:extLst>
        </xdr:cNvPr>
        <xdr:cNvSpPr>
          <a:spLocks/>
        </xdr:cNvSpPr>
      </xdr:nvSpPr>
      <xdr:spPr>
        <a:xfrm rot="16200000" flipH="1">
          <a:off x="26370915" y="9061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7620</xdr:colOff>
      <xdr:row>242</xdr:row>
      <xdr:rowOff>175260</xdr:rowOff>
    </xdr:from>
    <xdr:to>
      <xdr:col>102</xdr:col>
      <xdr:colOff>121919</xdr:colOff>
      <xdr:row>243</xdr:row>
      <xdr:rowOff>281940</xdr:rowOff>
    </xdr:to>
    <xdr:sp macro="" textlink="">
      <xdr:nvSpPr>
        <xdr:cNvPr id="306" name="矢印: 折線 305">
          <a:extLst>
            <a:ext uri="{FF2B5EF4-FFF2-40B4-BE49-F238E27FC236}">
              <a16:creationId xmlns:a16="http://schemas.microsoft.com/office/drawing/2014/main" id="{65D69D52-ED13-413A-BE10-383B5CC6F73A}"/>
            </a:ext>
          </a:extLst>
        </xdr:cNvPr>
        <xdr:cNvSpPr>
          <a:spLocks/>
        </xdr:cNvSpPr>
      </xdr:nvSpPr>
      <xdr:spPr>
        <a:xfrm rot="10800000" flipH="1">
          <a:off x="26380440" y="9180576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152400</xdr:colOff>
      <xdr:row>242</xdr:row>
      <xdr:rowOff>175260</xdr:rowOff>
    </xdr:from>
    <xdr:to>
      <xdr:col>102</xdr:col>
      <xdr:colOff>160020</xdr:colOff>
      <xdr:row>243</xdr:row>
      <xdr:rowOff>125730</xdr:rowOff>
    </xdr:to>
    <xdr:sp macro="" textlink="">
      <xdr:nvSpPr>
        <xdr:cNvPr id="307" name="矢印: 折線 306">
          <a:extLst>
            <a:ext uri="{FF2B5EF4-FFF2-40B4-BE49-F238E27FC236}">
              <a16:creationId xmlns:a16="http://schemas.microsoft.com/office/drawing/2014/main" id="{5BF8079D-3678-45A8-98D1-CE008DE26C5D}"/>
            </a:ext>
          </a:extLst>
        </xdr:cNvPr>
        <xdr:cNvSpPr>
          <a:spLocks/>
        </xdr:cNvSpPr>
      </xdr:nvSpPr>
      <xdr:spPr>
        <a:xfrm rot="16200000" flipH="1">
          <a:off x="26363295" y="91761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15240</xdr:colOff>
      <xdr:row>245</xdr:row>
      <xdr:rowOff>152400</xdr:rowOff>
    </xdr:from>
    <xdr:to>
      <xdr:col>102</xdr:col>
      <xdr:colOff>129539</xdr:colOff>
      <xdr:row>246</xdr:row>
      <xdr:rowOff>259080</xdr:rowOff>
    </xdr:to>
    <xdr:sp macro="" textlink="">
      <xdr:nvSpPr>
        <xdr:cNvPr id="308" name="矢印: 折線 307">
          <a:extLst>
            <a:ext uri="{FF2B5EF4-FFF2-40B4-BE49-F238E27FC236}">
              <a16:creationId xmlns:a16="http://schemas.microsoft.com/office/drawing/2014/main" id="{9B1ED996-2BA1-48B0-AD2C-F5F535CC69FD}"/>
            </a:ext>
          </a:extLst>
        </xdr:cNvPr>
        <xdr:cNvSpPr>
          <a:spLocks/>
        </xdr:cNvSpPr>
      </xdr:nvSpPr>
      <xdr:spPr>
        <a:xfrm rot="10800000" flipH="1">
          <a:off x="26388060" y="92925900"/>
          <a:ext cx="32003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100</xdr:col>
      <xdr:colOff>160020</xdr:colOff>
      <xdr:row>245</xdr:row>
      <xdr:rowOff>152400</xdr:rowOff>
    </xdr:from>
    <xdr:to>
      <xdr:col>102</xdr:col>
      <xdr:colOff>167640</xdr:colOff>
      <xdr:row>246</xdr:row>
      <xdr:rowOff>102870</xdr:rowOff>
    </xdr:to>
    <xdr:sp macro="" textlink="">
      <xdr:nvSpPr>
        <xdr:cNvPr id="309" name="矢印: 折線 308">
          <a:extLst>
            <a:ext uri="{FF2B5EF4-FFF2-40B4-BE49-F238E27FC236}">
              <a16:creationId xmlns:a16="http://schemas.microsoft.com/office/drawing/2014/main" id="{5FFD02DF-DA13-4123-9B38-065389F1AAC8}"/>
            </a:ext>
          </a:extLst>
        </xdr:cNvPr>
        <xdr:cNvSpPr>
          <a:spLocks/>
        </xdr:cNvSpPr>
      </xdr:nvSpPr>
      <xdr:spPr>
        <a:xfrm rot="16200000" flipH="1">
          <a:off x="26370915" y="9288208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99060</xdr:colOff>
      <xdr:row>253</xdr:row>
      <xdr:rowOff>167640</xdr:rowOff>
    </xdr:from>
    <xdr:to>
      <xdr:col>106</xdr:col>
      <xdr:colOff>83819</xdr:colOff>
      <xdr:row>254</xdr:row>
      <xdr:rowOff>274320</xdr:rowOff>
    </xdr:to>
    <xdr:sp macro="" textlink="">
      <xdr:nvSpPr>
        <xdr:cNvPr id="310" name="矢印: 折線 309">
          <a:extLst>
            <a:ext uri="{FF2B5EF4-FFF2-40B4-BE49-F238E27FC236}">
              <a16:creationId xmlns:a16="http://schemas.microsoft.com/office/drawing/2014/main" id="{A37B313B-2325-4342-B900-C75DEC28D4A8}"/>
            </a:ext>
          </a:extLst>
        </xdr:cNvPr>
        <xdr:cNvSpPr>
          <a:spLocks/>
        </xdr:cNvSpPr>
      </xdr:nvSpPr>
      <xdr:spPr>
        <a:xfrm rot="10800000" flipH="1">
          <a:off x="26471880" y="95989140"/>
          <a:ext cx="1013459"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101</xdr:col>
      <xdr:colOff>38100</xdr:colOff>
      <xdr:row>253</xdr:row>
      <xdr:rowOff>175260</xdr:rowOff>
    </xdr:from>
    <xdr:to>
      <xdr:col>103</xdr:col>
      <xdr:colOff>45720</xdr:colOff>
      <xdr:row>254</xdr:row>
      <xdr:rowOff>125730</xdr:rowOff>
    </xdr:to>
    <xdr:sp macro="" textlink="">
      <xdr:nvSpPr>
        <xdr:cNvPr id="311" name="矢印: 折線 310">
          <a:extLst>
            <a:ext uri="{FF2B5EF4-FFF2-40B4-BE49-F238E27FC236}">
              <a16:creationId xmlns:a16="http://schemas.microsoft.com/office/drawing/2014/main" id="{D5035B93-6522-4F47-98B6-1D77BC193049}"/>
            </a:ext>
          </a:extLst>
        </xdr:cNvPr>
        <xdr:cNvSpPr>
          <a:spLocks/>
        </xdr:cNvSpPr>
      </xdr:nvSpPr>
      <xdr:spPr>
        <a:xfrm rot="16200000" flipH="1">
          <a:off x="26454735" y="9595294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182880</xdr:colOff>
      <xdr:row>256</xdr:row>
      <xdr:rowOff>182880</xdr:rowOff>
    </xdr:from>
    <xdr:to>
      <xdr:col>108</xdr:col>
      <xdr:colOff>76200</xdr:colOff>
      <xdr:row>257</xdr:row>
      <xdr:rowOff>289560</xdr:rowOff>
    </xdr:to>
    <xdr:sp macro="" textlink="">
      <xdr:nvSpPr>
        <xdr:cNvPr id="312" name="矢印: 折線 311">
          <a:extLst>
            <a:ext uri="{FF2B5EF4-FFF2-40B4-BE49-F238E27FC236}">
              <a16:creationId xmlns:a16="http://schemas.microsoft.com/office/drawing/2014/main" id="{406C18B4-03BC-4062-9AA3-A1E80A7A2487}"/>
            </a:ext>
          </a:extLst>
        </xdr:cNvPr>
        <xdr:cNvSpPr>
          <a:spLocks/>
        </xdr:cNvSpPr>
      </xdr:nvSpPr>
      <xdr:spPr>
        <a:xfrm rot="10800000" flipH="1">
          <a:off x="27378660" y="9714738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105</xdr:col>
      <xdr:colOff>121920</xdr:colOff>
      <xdr:row>256</xdr:row>
      <xdr:rowOff>182880</xdr:rowOff>
    </xdr:from>
    <xdr:to>
      <xdr:col>107</xdr:col>
      <xdr:colOff>129540</xdr:colOff>
      <xdr:row>257</xdr:row>
      <xdr:rowOff>133350</xdr:rowOff>
    </xdr:to>
    <xdr:sp macro="" textlink="">
      <xdr:nvSpPr>
        <xdr:cNvPr id="313" name="矢印: 折線 312">
          <a:extLst>
            <a:ext uri="{FF2B5EF4-FFF2-40B4-BE49-F238E27FC236}">
              <a16:creationId xmlns:a16="http://schemas.microsoft.com/office/drawing/2014/main" id="{A86BC1D8-32A0-474F-B358-7856C4B82349}"/>
            </a:ext>
          </a:extLst>
        </xdr:cNvPr>
        <xdr:cNvSpPr>
          <a:spLocks/>
        </xdr:cNvSpPr>
      </xdr:nvSpPr>
      <xdr:spPr>
        <a:xfrm rot="16200000" flipH="1">
          <a:off x="27361515" y="9710356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152400</xdr:colOff>
      <xdr:row>259</xdr:row>
      <xdr:rowOff>167640</xdr:rowOff>
    </xdr:from>
    <xdr:to>
      <xdr:col>110</xdr:col>
      <xdr:colOff>45720</xdr:colOff>
      <xdr:row>260</xdr:row>
      <xdr:rowOff>274320</xdr:rowOff>
    </xdr:to>
    <xdr:sp macro="" textlink="">
      <xdr:nvSpPr>
        <xdr:cNvPr id="314" name="矢印: 折線 313">
          <a:extLst>
            <a:ext uri="{FF2B5EF4-FFF2-40B4-BE49-F238E27FC236}">
              <a16:creationId xmlns:a16="http://schemas.microsoft.com/office/drawing/2014/main" id="{4CD0819F-C3DE-47A8-9738-6B12EE3BC84F}"/>
            </a:ext>
          </a:extLst>
        </xdr:cNvPr>
        <xdr:cNvSpPr>
          <a:spLocks/>
        </xdr:cNvSpPr>
      </xdr:nvSpPr>
      <xdr:spPr>
        <a:xfrm rot="10800000" flipH="1">
          <a:off x="27759660" y="98275140"/>
          <a:ext cx="510540" cy="487680"/>
        </a:xfrm>
        <a:prstGeom prst="bentArrow">
          <a:avLst>
            <a:gd name="adj1" fmla="val 5634"/>
            <a:gd name="adj2" fmla="val 9856"/>
            <a:gd name="adj3" fmla="val 2009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twoCellAnchor>
    <xdr:from>
      <xdr:col>107</xdr:col>
      <xdr:colOff>91440</xdr:colOff>
      <xdr:row>259</xdr:row>
      <xdr:rowOff>167640</xdr:rowOff>
    </xdr:from>
    <xdr:to>
      <xdr:col>109</xdr:col>
      <xdr:colOff>99060</xdr:colOff>
      <xdr:row>260</xdr:row>
      <xdr:rowOff>118110</xdr:rowOff>
    </xdr:to>
    <xdr:sp macro="" textlink="">
      <xdr:nvSpPr>
        <xdr:cNvPr id="315" name="矢印: 折線 314">
          <a:extLst>
            <a:ext uri="{FF2B5EF4-FFF2-40B4-BE49-F238E27FC236}">
              <a16:creationId xmlns:a16="http://schemas.microsoft.com/office/drawing/2014/main" id="{551EAC48-4815-4996-AC66-21763CAA63BC}"/>
            </a:ext>
          </a:extLst>
        </xdr:cNvPr>
        <xdr:cNvSpPr>
          <a:spLocks/>
        </xdr:cNvSpPr>
      </xdr:nvSpPr>
      <xdr:spPr>
        <a:xfrm rot="16200000" flipH="1">
          <a:off x="27742515" y="98231325"/>
          <a:ext cx="331470" cy="419100"/>
        </a:xfrm>
        <a:prstGeom prst="bentArrow">
          <a:avLst>
            <a:gd name="adj1" fmla="val 13134"/>
            <a:gd name="adj2" fmla="val 25000"/>
            <a:gd name="adj3" fmla="val 28846"/>
            <a:gd name="adj4" fmla="val 0"/>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2.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D279"/>
  <sheetViews>
    <sheetView showGridLines="0" tabSelected="1" showRuler="0" zoomScaleNormal="100" zoomScalePageLayoutView="70" workbookViewId="0">
      <pane ySplit="6" topLeftCell="A19" activePane="bottomLeft" state="frozen"/>
      <selection pane="bottomLeft" activeCell="E24" sqref="E24"/>
    </sheetView>
  </sheetViews>
  <sheetFormatPr defaultRowHeight="30" customHeight="1" x14ac:dyDescent="0.3"/>
  <cols>
    <col min="1" max="1" width="2.54296875" style="6" customWidth="1"/>
    <col min="2" max="2" width="19.81640625" customWidth="1"/>
    <col min="3" max="3" width="30.54296875" customWidth="1"/>
    <col min="4" max="4" width="10.54296875" customWidth="1"/>
    <col min="5" max="5" width="10.1796875" style="2" customWidth="1"/>
    <col min="6" max="6" width="10.1796875" customWidth="1"/>
    <col min="7" max="7" width="2.54296875" customWidth="1"/>
    <col min="8" max="8" width="6" hidden="1" customWidth="1"/>
    <col min="9" max="134" width="2.453125" customWidth="1"/>
  </cols>
  <sheetData>
    <row r="1" spans="1:134" ht="30" customHeight="1" x14ac:dyDescent="0.55000000000000004">
      <c r="A1" s="7" t="s">
        <v>0</v>
      </c>
      <c r="B1" s="9" t="s">
        <v>37</v>
      </c>
      <c r="C1" s="18"/>
      <c r="D1" s="19"/>
      <c r="E1" s="20"/>
      <c r="F1" s="21"/>
      <c r="H1" s="19"/>
      <c r="I1" s="22" t="s">
        <v>21</v>
      </c>
    </row>
    <row r="2" spans="1:134" ht="30" customHeight="1" x14ac:dyDescent="0.35">
      <c r="A2" s="6" t="s">
        <v>1</v>
      </c>
      <c r="B2" s="10" t="s">
        <v>13</v>
      </c>
      <c r="I2" s="23" t="s">
        <v>22</v>
      </c>
    </row>
    <row r="3" spans="1:134" ht="30" customHeight="1" x14ac:dyDescent="0.3">
      <c r="A3" s="6" t="s">
        <v>2</v>
      </c>
      <c r="B3" s="11" t="s">
        <v>14</v>
      </c>
      <c r="C3" s="84" t="s">
        <v>15</v>
      </c>
      <c r="D3" s="85"/>
      <c r="E3" s="86">
        <v>46314</v>
      </c>
      <c r="F3" s="86"/>
    </row>
    <row r="4" spans="1:134" ht="30" customHeight="1" x14ac:dyDescent="0.3">
      <c r="A4" s="7" t="s">
        <v>3</v>
      </c>
      <c r="C4" s="84" t="s">
        <v>16</v>
      </c>
      <c r="D4" s="85"/>
      <c r="E4" s="3">
        <v>1</v>
      </c>
      <c r="I4" s="81">
        <f>I5</f>
        <v>46314</v>
      </c>
      <c r="J4" s="82"/>
      <c r="K4" s="82"/>
      <c r="L4" s="82"/>
      <c r="M4" s="82"/>
      <c r="N4" s="82"/>
      <c r="O4" s="83"/>
      <c r="P4" s="81">
        <f>P5</f>
        <v>46321</v>
      </c>
      <c r="Q4" s="82"/>
      <c r="R4" s="82"/>
      <c r="S4" s="82"/>
      <c r="T4" s="82"/>
      <c r="U4" s="82"/>
      <c r="V4" s="83"/>
      <c r="W4" s="81">
        <f>W5</f>
        <v>46328</v>
      </c>
      <c r="X4" s="82"/>
      <c r="Y4" s="82"/>
      <c r="Z4" s="82"/>
      <c r="AA4" s="82"/>
      <c r="AB4" s="82"/>
      <c r="AC4" s="83"/>
      <c r="AD4" s="81">
        <f>AD5</f>
        <v>46335</v>
      </c>
      <c r="AE4" s="82"/>
      <c r="AF4" s="82"/>
      <c r="AG4" s="82"/>
      <c r="AH4" s="82"/>
      <c r="AI4" s="82"/>
      <c r="AJ4" s="83"/>
      <c r="AK4" s="81">
        <f>AK5</f>
        <v>46342</v>
      </c>
      <c r="AL4" s="82"/>
      <c r="AM4" s="82"/>
      <c r="AN4" s="82"/>
      <c r="AO4" s="82"/>
      <c r="AP4" s="82"/>
      <c r="AQ4" s="83"/>
      <c r="AR4" s="81">
        <f>AR5</f>
        <v>46349</v>
      </c>
      <c r="AS4" s="82"/>
      <c r="AT4" s="82"/>
      <c r="AU4" s="82"/>
      <c r="AV4" s="82"/>
      <c r="AW4" s="82"/>
      <c r="AX4" s="83"/>
      <c r="AY4" s="81">
        <f>AY5</f>
        <v>46356</v>
      </c>
      <c r="AZ4" s="82"/>
      <c r="BA4" s="82"/>
      <c r="BB4" s="82"/>
      <c r="BC4" s="82"/>
      <c r="BD4" s="82"/>
      <c r="BE4" s="83"/>
      <c r="BF4" s="81">
        <f>BF5</f>
        <v>46363</v>
      </c>
      <c r="BG4" s="82"/>
      <c r="BH4" s="82"/>
      <c r="BI4" s="82"/>
      <c r="BJ4" s="82"/>
      <c r="BK4" s="82"/>
      <c r="BL4" s="83"/>
      <c r="BM4" s="81">
        <f>BM5</f>
        <v>46370</v>
      </c>
      <c r="BN4" s="82"/>
      <c r="BO4" s="82"/>
      <c r="BP4" s="82"/>
      <c r="BQ4" s="82"/>
      <c r="BR4" s="82"/>
      <c r="BS4" s="83"/>
      <c r="BT4" s="81">
        <f t="shared" ref="BT4" si="0">BT5</f>
        <v>46377</v>
      </c>
      <c r="BU4" s="82"/>
      <c r="BV4" s="82"/>
      <c r="BW4" s="82"/>
      <c r="BX4" s="82"/>
      <c r="BY4" s="82"/>
      <c r="BZ4" s="83"/>
      <c r="CA4" s="81">
        <f t="shared" ref="CA4" si="1">CA5</f>
        <v>46384</v>
      </c>
      <c r="CB4" s="82"/>
      <c r="CC4" s="82"/>
      <c r="CD4" s="82"/>
      <c r="CE4" s="82"/>
      <c r="CF4" s="82"/>
      <c r="CG4" s="83"/>
      <c r="CH4" s="81">
        <f t="shared" ref="CH4" si="2">CH5</f>
        <v>46391</v>
      </c>
      <c r="CI4" s="82"/>
      <c r="CJ4" s="82"/>
      <c r="CK4" s="82"/>
      <c r="CL4" s="82"/>
      <c r="CM4" s="82"/>
      <c r="CN4" s="83"/>
      <c r="CO4" s="81">
        <f t="shared" ref="CO4" si="3">CO5</f>
        <v>46398</v>
      </c>
      <c r="CP4" s="82"/>
      <c r="CQ4" s="82"/>
      <c r="CR4" s="82"/>
      <c r="CS4" s="82"/>
      <c r="CT4" s="82"/>
      <c r="CU4" s="83"/>
      <c r="CV4" s="81">
        <f>CV5</f>
        <v>46405</v>
      </c>
      <c r="CW4" s="82"/>
      <c r="CX4" s="82"/>
      <c r="CY4" s="82"/>
      <c r="CZ4" s="82"/>
      <c r="DA4" s="82"/>
      <c r="DB4" s="83"/>
      <c r="DC4" s="81">
        <f>DC5</f>
        <v>46412</v>
      </c>
      <c r="DD4" s="82"/>
      <c r="DE4" s="82"/>
      <c r="DF4" s="82"/>
      <c r="DG4" s="82"/>
      <c r="DH4" s="82"/>
      <c r="DI4" s="83"/>
      <c r="DJ4" s="81">
        <f t="shared" ref="DJ4" si="4">DJ5</f>
        <v>46419</v>
      </c>
      <c r="DK4" s="82"/>
      <c r="DL4" s="82"/>
      <c r="DM4" s="82"/>
      <c r="DN4" s="82"/>
      <c r="DO4" s="82"/>
      <c r="DP4" s="83"/>
      <c r="DQ4" s="81">
        <f t="shared" ref="DQ4" si="5">DQ5</f>
        <v>46426</v>
      </c>
      <c r="DR4" s="82"/>
      <c r="DS4" s="82"/>
      <c r="DT4" s="82"/>
      <c r="DU4" s="82"/>
      <c r="DV4" s="82"/>
      <c r="DW4" s="83"/>
      <c r="DX4" s="81">
        <f t="shared" ref="DX4" si="6">DX5</f>
        <v>46433</v>
      </c>
      <c r="DY4" s="82"/>
      <c r="DZ4" s="82"/>
      <c r="EA4" s="82"/>
      <c r="EB4" s="82"/>
      <c r="EC4" s="82"/>
      <c r="ED4" s="83"/>
    </row>
    <row r="5" spans="1:134" ht="15" customHeight="1" x14ac:dyDescent="0.3">
      <c r="A5" s="7" t="s">
        <v>4</v>
      </c>
      <c r="B5" s="17"/>
      <c r="C5" s="17"/>
      <c r="D5" s="17"/>
      <c r="E5" s="17"/>
      <c r="F5" s="17"/>
      <c r="G5" s="17"/>
      <c r="I5" s="51">
        <f>プロジェクトの開始-WEEKDAY(プロジェクトの開始,1)+2+7*(週表示-1)</f>
        <v>46314</v>
      </c>
      <c r="J5" s="52">
        <f>I5+1</f>
        <v>46315</v>
      </c>
      <c r="K5" s="52">
        <f t="shared" ref="K5:AX5" si="7">J5+1</f>
        <v>46316</v>
      </c>
      <c r="L5" s="52">
        <f t="shared" si="7"/>
        <v>46317</v>
      </c>
      <c r="M5" s="52">
        <f t="shared" si="7"/>
        <v>46318</v>
      </c>
      <c r="N5" s="52">
        <f t="shared" si="7"/>
        <v>46319</v>
      </c>
      <c r="O5" s="53">
        <f t="shared" si="7"/>
        <v>46320</v>
      </c>
      <c r="P5" s="51">
        <f>O5+1</f>
        <v>46321</v>
      </c>
      <c r="Q5" s="52">
        <f>P5+1</f>
        <v>46322</v>
      </c>
      <c r="R5" s="52">
        <f t="shared" si="7"/>
        <v>46323</v>
      </c>
      <c r="S5" s="52">
        <f t="shared" si="7"/>
        <v>46324</v>
      </c>
      <c r="T5" s="52">
        <f t="shared" si="7"/>
        <v>46325</v>
      </c>
      <c r="U5" s="52">
        <f t="shared" si="7"/>
        <v>46326</v>
      </c>
      <c r="V5" s="53">
        <f t="shared" si="7"/>
        <v>46327</v>
      </c>
      <c r="W5" s="51">
        <f>V5+1</f>
        <v>46328</v>
      </c>
      <c r="X5" s="52">
        <f>W5+1</f>
        <v>46329</v>
      </c>
      <c r="Y5" s="52">
        <f t="shared" si="7"/>
        <v>46330</v>
      </c>
      <c r="Z5" s="52">
        <f t="shared" si="7"/>
        <v>46331</v>
      </c>
      <c r="AA5" s="52">
        <f t="shared" si="7"/>
        <v>46332</v>
      </c>
      <c r="AB5" s="52">
        <f t="shared" si="7"/>
        <v>46333</v>
      </c>
      <c r="AC5" s="53">
        <f t="shared" si="7"/>
        <v>46334</v>
      </c>
      <c r="AD5" s="51">
        <f>AC5+1</f>
        <v>46335</v>
      </c>
      <c r="AE5" s="52">
        <f>AD5+1</f>
        <v>46336</v>
      </c>
      <c r="AF5" s="52">
        <f t="shared" si="7"/>
        <v>46337</v>
      </c>
      <c r="AG5" s="52">
        <f t="shared" si="7"/>
        <v>46338</v>
      </c>
      <c r="AH5" s="52">
        <f t="shared" si="7"/>
        <v>46339</v>
      </c>
      <c r="AI5" s="52">
        <f t="shared" si="7"/>
        <v>46340</v>
      </c>
      <c r="AJ5" s="53">
        <f t="shared" si="7"/>
        <v>46341</v>
      </c>
      <c r="AK5" s="51">
        <f>AJ5+1</f>
        <v>46342</v>
      </c>
      <c r="AL5" s="52">
        <f>AK5+1</f>
        <v>46343</v>
      </c>
      <c r="AM5" s="52">
        <f t="shared" si="7"/>
        <v>46344</v>
      </c>
      <c r="AN5" s="52">
        <f t="shared" si="7"/>
        <v>46345</v>
      </c>
      <c r="AO5" s="52">
        <f t="shared" si="7"/>
        <v>46346</v>
      </c>
      <c r="AP5" s="52">
        <f t="shared" si="7"/>
        <v>46347</v>
      </c>
      <c r="AQ5" s="53">
        <f t="shared" si="7"/>
        <v>46348</v>
      </c>
      <c r="AR5" s="51">
        <f>AQ5+1</f>
        <v>46349</v>
      </c>
      <c r="AS5" s="52">
        <f>AR5+1</f>
        <v>46350</v>
      </c>
      <c r="AT5" s="52">
        <f t="shared" si="7"/>
        <v>46351</v>
      </c>
      <c r="AU5" s="52">
        <f t="shared" si="7"/>
        <v>46352</v>
      </c>
      <c r="AV5" s="52">
        <f t="shared" si="7"/>
        <v>46353</v>
      </c>
      <c r="AW5" s="52">
        <f t="shared" si="7"/>
        <v>46354</v>
      </c>
      <c r="AX5" s="53">
        <f t="shared" si="7"/>
        <v>46355</v>
      </c>
      <c r="AY5" s="51">
        <f>AX5+1</f>
        <v>46356</v>
      </c>
      <c r="AZ5" s="52">
        <f>AY5+1</f>
        <v>46357</v>
      </c>
      <c r="BA5" s="52">
        <f t="shared" ref="BA5:BE5" si="8">AZ5+1</f>
        <v>46358</v>
      </c>
      <c r="BB5" s="52">
        <f t="shared" si="8"/>
        <v>46359</v>
      </c>
      <c r="BC5" s="52">
        <f t="shared" si="8"/>
        <v>46360</v>
      </c>
      <c r="BD5" s="52">
        <f t="shared" si="8"/>
        <v>46361</v>
      </c>
      <c r="BE5" s="53">
        <f t="shared" si="8"/>
        <v>46362</v>
      </c>
      <c r="BF5" s="51">
        <f>BE5+1</f>
        <v>46363</v>
      </c>
      <c r="BG5" s="52">
        <f>BF5+1</f>
        <v>46364</v>
      </c>
      <c r="BH5" s="52">
        <f t="shared" ref="BH5:BL5" si="9">BG5+1</f>
        <v>46365</v>
      </c>
      <c r="BI5" s="52">
        <f t="shared" si="9"/>
        <v>46366</v>
      </c>
      <c r="BJ5" s="52">
        <f t="shared" si="9"/>
        <v>46367</v>
      </c>
      <c r="BK5" s="52">
        <f t="shared" si="9"/>
        <v>46368</v>
      </c>
      <c r="BL5" s="53">
        <f t="shared" si="9"/>
        <v>46369</v>
      </c>
      <c r="BM5" s="51">
        <f>BL5+1</f>
        <v>46370</v>
      </c>
      <c r="BN5" s="52">
        <f>BM5+1</f>
        <v>46371</v>
      </c>
      <c r="BO5" s="52">
        <f t="shared" ref="BO5" si="10">BN5+1</f>
        <v>46372</v>
      </c>
      <c r="BP5" s="52">
        <f t="shared" ref="BP5" si="11">BO5+1</f>
        <v>46373</v>
      </c>
      <c r="BQ5" s="52">
        <f t="shared" ref="BQ5" si="12">BP5+1</f>
        <v>46374</v>
      </c>
      <c r="BR5" s="52">
        <f t="shared" ref="BR5" si="13">BQ5+1</f>
        <v>46375</v>
      </c>
      <c r="BS5" s="53">
        <f t="shared" ref="BS5:BU5" si="14">BR5+1</f>
        <v>46376</v>
      </c>
      <c r="BT5" s="51">
        <f t="shared" si="14"/>
        <v>46377</v>
      </c>
      <c r="BU5" s="52">
        <f t="shared" si="14"/>
        <v>46378</v>
      </c>
      <c r="BV5" s="52">
        <f t="shared" ref="BV5" si="15">BU5+1</f>
        <v>46379</v>
      </c>
      <c r="BW5" s="52">
        <f t="shared" ref="BW5" si="16">BV5+1</f>
        <v>46380</v>
      </c>
      <c r="BX5" s="52">
        <f t="shared" ref="BX5" si="17">BW5+1</f>
        <v>46381</v>
      </c>
      <c r="BY5" s="52">
        <f t="shared" ref="BY5" si="18">BX5+1</f>
        <v>46382</v>
      </c>
      <c r="BZ5" s="53">
        <f t="shared" ref="BZ5:CB5" si="19">BY5+1</f>
        <v>46383</v>
      </c>
      <c r="CA5" s="51">
        <f t="shared" si="19"/>
        <v>46384</v>
      </c>
      <c r="CB5" s="52">
        <f t="shared" si="19"/>
        <v>46385</v>
      </c>
      <c r="CC5" s="52">
        <f t="shared" ref="CC5" si="20">CB5+1</f>
        <v>46386</v>
      </c>
      <c r="CD5" s="52">
        <f t="shared" ref="CD5" si="21">CC5+1</f>
        <v>46387</v>
      </c>
      <c r="CE5" s="52">
        <f t="shared" ref="CE5" si="22">CD5+1</f>
        <v>46388</v>
      </c>
      <c r="CF5" s="52">
        <f t="shared" ref="CF5" si="23">CE5+1</f>
        <v>46389</v>
      </c>
      <c r="CG5" s="53">
        <f t="shared" ref="CG5:CI5" si="24">CF5+1</f>
        <v>46390</v>
      </c>
      <c r="CH5" s="51">
        <f t="shared" si="24"/>
        <v>46391</v>
      </c>
      <c r="CI5" s="52">
        <f t="shared" si="24"/>
        <v>46392</v>
      </c>
      <c r="CJ5" s="52">
        <f t="shared" ref="CJ5" si="25">CI5+1</f>
        <v>46393</v>
      </c>
      <c r="CK5" s="52">
        <f t="shared" ref="CK5" si="26">CJ5+1</f>
        <v>46394</v>
      </c>
      <c r="CL5" s="52">
        <f t="shared" ref="CL5" si="27">CK5+1</f>
        <v>46395</v>
      </c>
      <c r="CM5" s="52">
        <f t="shared" ref="CM5" si="28">CL5+1</f>
        <v>46396</v>
      </c>
      <c r="CN5" s="53">
        <f t="shared" ref="CN5:CP5" si="29">CM5+1</f>
        <v>46397</v>
      </c>
      <c r="CO5" s="51">
        <f t="shared" si="29"/>
        <v>46398</v>
      </c>
      <c r="CP5" s="52">
        <f t="shared" si="29"/>
        <v>46399</v>
      </c>
      <c r="CQ5" s="52">
        <f t="shared" ref="CQ5" si="30">CP5+1</f>
        <v>46400</v>
      </c>
      <c r="CR5" s="52">
        <f t="shared" ref="CR5" si="31">CQ5+1</f>
        <v>46401</v>
      </c>
      <c r="CS5" s="52">
        <f t="shared" ref="CS5" si="32">CR5+1</f>
        <v>46402</v>
      </c>
      <c r="CT5" s="52">
        <f t="shared" ref="CT5" si="33">CS5+1</f>
        <v>46403</v>
      </c>
      <c r="CU5" s="53">
        <f t="shared" ref="CU5" si="34">CT5+1</f>
        <v>46404</v>
      </c>
      <c r="CV5" s="51">
        <f>CU5+1</f>
        <v>46405</v>
      </c>
      <c r="CW5" s="52">
        <f>CV5+1</f>
        <v>46406</v>
      </c>
      <c r="CX5" s="52">
        <f t="shared" ref="CX5" si="35">CW5+1</f>
        <v>46407</v>
      </c>
      <c r="CY5" s="52">
        <f t="shared" ref="CY5" si="36">CX5+1</f>
        <v>46408</v>
      </c>
      <c r="CZ5" s="52">
        <f t="shared" ref="CZ5" si="37">CY5+1</f>
        <v>46409</v>
      </c>
      <c r="DA5" s="52">
        <f t="shared" ref="DA5" si="38">CZ5+1</f>
        <v>46410</v>
      </c>
      <c r="DB5" s="53">
        <f t="shared" ref="DB5" si="39">DA5+1</f>
        <v>46411</v>
      </c>
      <c r="DC5" s="51">
        <f>DB5+1</f>
        <v>46412</v>
      </c>
      <c r="DD5" s="52">
        <f>DC5+1</f>
        <v>46413</v>
      </c>
      <c r="DE5" s="52">
        <f t="shared" ref="DE5" si="40">DD5+1</f>
        <v>46414</v>
      </c>
      <c r="DF5" s="52">
        <f t="shared" ref="DF5" si="41">DE5+1</f>
        <v>46415</v>
      </c>
      <c r="DG5" s="52">
        <f t="shared" ref="DG5" si="42">DF5+1</f>
        <v>46416</v>
      </c>
      <c r="DH5" s="52">
        <f t="shared" ref="DH5" si="43">DG5+1</f>
        <v>46417</v>
      </c>
      <c r="DI5" s="53">
        <f t="shared" ref="DI5" si="44">DH5+1</f>
        <v>46418</v>
      </c>
      <c r="DJ5" s="51">
        <f t="shared" ref="DJ5" si="45">DI5+1</f>
        <v>46419</v>
      </c>
      <c r="DK5" s="52">
        <f t="shared" ref="DK5" si="46">DJ5+1</f>
        <v>46420</v>
      </c>
      <c r="DL5" s="52">
        <f t="shared" ref="DL5" si="47">DK5+1</f>
        <v>46421</v>
      </c>
      <c r="DM5" s="52">
        <f t="shared" ref="DM5" si="48">DL5+1</f>
        <v>46422</v>
      </c>
      <c r="DN5" s="52">
        <f t="shared" ref="DN5" si="49">DM5+1</f>
        <v>46423</v>
      </c>
      <c r="DO5" s="52">
        <f t="shared" ref="DO5" si="50">DN5+1</f>
        <v>46424</v>
      </c>
      <c r="DP5" s="53">
        <f t="shared" ref="DP5" si="51">DO5+1</f>
        <v>46425</v>
      </c>
      <c r="DQ5" s="51">
        <f t="shared" ref="DQ5" si="52">DP5+1</f>
        <v>46426</v>
      </c>
      <c r="DR5" s="52">
        <f t="shared" ref="DR5" si="53">DQ5+1</f>
        <v>46427</v>
      </c>
      <c r="DS5" s="52">
        <f t="shared" ref="DS5" si="54">DR5+1</f>
        <v>46428</v>
      </c>
      <c r="DT5" s="52">
        <f t="shared" ref="DT5" si="55">DS5+1</f>
        <v>46429</v>
      </c>
      <c r="DU5" s="52">
        <f t="shared" ref="DU5" si="56">DT5+1</f>
        <v>46430</v>
      </c>
      <c r="DV5" s="52">
        <f t="shared" ref="DV5" si="57">DU5+1</f>
        <v>46431</v>
      </c>
      <c r="DW5" s="53">
        <f t="shared" ref="DW5" si="58">DV5+1</f>
        <v>46432</v>
      </c>
      <c r="DX5" s="51">
        <f t="shared" ref="DX5" si="59">DW5+1</f>
        <v>46433</v>
      </c>
      <c r="DY5" s="52">
        <f t="shared" ref="DY5" si="60">DX5+1</f>
        <v>46434</v>
      </c>
      <c r="DZ5" s="52">
        <f t="shared" ref="DZ5" si="61">DY5+1</f>
        <v>46435</v>
      </c>
      <c r="EA5" s="52">
        <f t="shared" ref="EA5" si="62">DZ5+1</f>
        <v>46436</v>
      </c>
      <c r="EB5" s="52">
        <f t="shared" ref="EB5" si="63">EA5+1</f>
        <v>46437</v>
      </c>
      <c r="EC5" s="52">
        <f t="shared" ref="EC5" si="64">EB5+1</f>
        <v>46438</v>
      </c>
      <c r="ED5" s="53">
        <f t="shared" ref="ED5" si="65">EC5+1</f>
        <v>46439</v>
      </c>
    </row>
    <row r="6" spans="1:134" ht="30" customHeight="1" thickBot="1" x14ac:dyDescent="0.35">
      <c r="A6" s="7" t="s">
        <v>5</v>
      </c>
      <c r="B6" s="24" t="s">
        <v>40</v>
      </c>
      <c r="C6" s="25" t="s">
        <v>35</v>
      </c>
      <c r="D6" s="25" t="s">
        <v>17</v>
      </c>
      <c r="E6" s="25" t="s">
        <v>18</v>
      </c>
      <c r="F6" s="25" t="s">
        <v>19</v>
      </c>
      <c r="G6" s="25"/>
      <c r="H6" s="25" t="s">
        <v>20</v>
      </c>
      <c r="I6" s="26" t="str">
        <f t="shared" ref="I6:AN6" si="66">LEFT(TEXT(I5,"aaa"),1)</f>
        <v>月</v>
      </c>
      <c r="J6" s="26" t="str">
        <f t="shared" si="66"/>
        <v>火</v>
      </c>
      <c r="K6" s="26" t="str">
        <f t="shared" si="66"/>
        <v>水</v>
      </c>
      <c r="L6" s="26" t="str">
        <f t="shared" si="66"/>
        <v>木</v>
      </c>
      <c r="M6" s="26" t="str">
        <f t="shared" si="66"/>
        <v>金</v>
      </c>
      <c r="N6" s="26" t="str">
        <f t="shared" si="66"/>
        <v>土</v>
      </c>
      <c r="O6" s="26" t="str">
        <f t="shared" si="66"/>
        <v>日</v>
      </c>
      <c r="P6" s="26" t="str">
        <f t="shared" si="66"/>
        <v>月</v>
      </c>
      <c r="Q6" s="26" t="str">
        <f t="shared" si="66"/>
        <v>火</v>
      </c>
      <c r="R6" s="26" t="str">
        <f t="shared" si="66"/>
        <v>水</v>
      </c>
      <c r="S6" s="26" t="str">
        <f t="shared" si="66"/>
        <v>木</v>
      </c>
      <c r="T6" s="26" t="str">
        <f t="shared" si="66"/>
        <v>金</v>
      </c>
      <c r="U6" s="26" t="str">
        <f t="shared" si="66"/>
        <v>土</v>
      </c>
      <c r="V6" s="26" t="str">
        <f t="shared" si="66"/>
        <v>日</v>
      </c>
      <c r="W6" s="26" t="str">
        <f t="shared" si="66"/>
        <v>月</v>
      </c>
      <c r="X6" s="26" t="str">
        <f t="shared" si="66"/>
        <v>火</v>
      </c>
      <c r="Y6" s="26" t="str">
        <f t="shared" si="66"/>
        <v>水</v>
      </c>
      <c r="Z6" s="26" t="str">
        <f t="shared" si="66"/>
        <v>木</v>
      </c>
      <c r="AA6" s="26" t="str">
        <f t="shared" si="66"/>
        <v>金</v>
      </c>
      <c r="AB6" s="26" t="str">
        <f t="shared" si="66"/>
        <v>土</v>
      </c>
      <c r="AC6" s="26" t="str">
        <f t="shared" si="66"/>
        <v>日</v>
      </c>
      <c r="AD6" s="26" t="str">
        <f t="shared" si="66"/>
        <v>月</v>
      </c>
      <c r="AE6" s="26" t="str">
        <f t="shared" si="66"/>
        <v>火</v>
      </c>
      <c r="AF6" s="26" t="str">
        <f t="shared" si="66"/>
        <v>水</v>
      </c>
      <c r="AG6" s="26" t="str">
        <f t="shared" si="66"/>
        <v>木</v>
      </c>
      <c r="AH6" s="26" t="str">
        <f t="shared" si="66"/>
        <v>金</v>
      </c>
      <c r="AI6" s="26" t="str">
        <f t="shared" si="66"/>
        <v>土</v>
      </c>
      <c r="AJ6" s="26" t="str">
        <f t="shared" si="66"/>
        <v>日</v>
      </c>
      <c r="AK6" s="26" t="str">
        <f t="shared" si="66"/>
        <v>月</v>
      </c>
      <c r="AL6" s="26" t="str">
        <f t="shared" si="66"/>
        <v>火</v>
      </c>
      <c r="AM6" s="26" t="str">
        <f t="shared" si="66"/>
        <v>水</v>
      </c>
      <c r="AN6" s="26" t="str">
        <f t="shared" si="66"/>
        <v>木</v>
      </c>
      <c r="AO6" s="26" t="str">
        <f t="shared" ref="AO6:BL6" si="67">LEFT(TEXT(AO5,"aaa"),1)</f>
        <v>金</v>
      </c>
      <c r="AP6" s="26" t="str">
        <f t="shared" si="67"/>
        <v>土</v>
      </c>
      <c r="AQ6" s="26" t="str">
        <f t="shared" si="67"/>
        <v>日</v>
      </c>
      <c r="AR6" s="26" t="str">
        <f t="shared" si="67"/>
        <v>月</v>
      </c>
      <c r="AS6" s="26" t="str">
        <f t="shared" si="67"/>
        <v>火</v>
      </c>
      <c r="AT6" s="26" t="str">
        <f t="shared" si="67"/>
        <v>水</v>
      </c>
      <c r="AU6" s="26" t="str">
        <f t="shared" si="67"/>
        <v>木</v>
      </c>
      <c r="AV6" s="26" t="str">
        <f t="shared" si="67"/>
        <v>金</v>
      </c>
      <c r="AW6" s="26" t="str">
        <f t="shared" si="67"/>
        <v>土</v>
      </c>
      <c r="AX6" s="26" t="str">
        <f t="shared" si="67"/>
        <v>日</v>
      </c>
      <c r="AY6" s="26" t="str">
        <f t="shared" si="67"/>
        <v>月</v>
      </c>
      <c r="AZ6" s="26" t="str">
        <f t="shared" si="67"/>
        <v>火</v>
      </c>
      <c r="BA6" s="26" t="str">
        <f t="shared" si="67"/>
        <v>水</v>
      </c>
      <c r="BB6" s="26" t="str">
        <f t="shared" si="67"/>
        <v>木</v>
      </c>
      <c r="BC6" s="26" t="str">
        <f t="shared" si="67"/>
        <v>金</v>
      </c>
      <c r="BD6" s="26" t="str">
        <f t="shared" si="67"/>
        <v>土</v>
      </c>
      <c r="BE6" s="26" t="str">
        <f t="shared" si="67"/>
        <v>日</v>
      </c>
      <c r="BF6" s="26" t="str">
        <f t="shared" si="67"/>
        <v>月</v>
      </c>
      <c r="BG6" s="26" t="str">
        <f t="shared" si="67"/>
        <v>火</v>
      </c>
      <c r="BH6" s="26" t="str">
        <f t="shared" si="67"/>
        <v>水</v>
      </c>
      <c r="BI6" s="26" t="str">
        <f t="shared" si="67"/>
        <v>木</v>
      </c>
      <c r="BJ6" s="26" t="str">
        <f t="shared" si="67"/>
        <v>金</v>
      </c>
      <c r="BK6" s="26" t="str">
        <f t="shared" si="67"/>
        <v>土</v>
      </c>
      <c r="BL6" s="26" t="str">
        <f t="shared" si="67"/>
        <v>日</v>
      </c>
      <c r="BM6" s="26" t="str">
        <f t="shared" ref="BM6:BZ6" si="68">LEFT(TEXT(BM5,"aaa"),1)</f>
        <v>月</v>
      </c>
      <c r="BN6" s="26" t="str">
        <f t="shared" si="68"/>
        <v>火</v>
      </c>
      <c r="BO6" s="26" t="str">
        <f t="shared" si="68"/>
        <v>水</v>
      </c>
      <c r="BP6" s="26" t="str">
        <f t="shared" si="68"/>
        <v>木</v>
      </c>
      <c r="BQ6" s="26" t="str">
        <f t="shared" si="68"/>
        <v>金</v>
      </c>
      <c r="BR6" s="26" t="str">
        <f t="shared" si="68"/>
        <v>土</v>
      </c>
      <c r="BS6" s="26" t="str">
        <f t="shared" si="68"/>
        <v>日</v>
      </c>
      <c r="BT6" s="26" t="str">
        <f t="shared" si="68"/>
        <v>月</v>
      </c>
      <c r="BU6" s="26" t="str">
        <f t="shared" si="68"/>
        <v>火</v>
      </c>
      <c r="BV6" s="26" t="str">
        <f t="shared" si="68"/>
        <v>水</v>
      </c>
      <c r="BW6" s="26" t="str">
        <f t="shared" si="68"/>
        <v>木</v>
      </c>
      <c r="BX6" s="26" t="str">
        <f t="shared" si="68"/>
        <v>金</v>
      </c>
      <c r="BY6" s="26" t="str">
        <f t="shared" si="68"/>
        <v>土</v>
      </c>
      <c r="BZ6" s="26" t="str">
        <f t="shared" si="68"/>
        <v>日</v>
      </c>
      <c r="CA6" s="26" t="str">
        <f t="shared" ref="CA6:DP6" si="69">LEFT(TEXT(CA5,"aaa"),1)</f>
        <v>月</v>
      </c>
      <c r="CB6" s="26" t="str">
        <f t="shared" si="69"/>
        <v>火</v>
      </c>
      <c r="CC6" s="26" t="str">
        <f t="shared" si="69"/>
        <v>水</v>
      </c>
      <c r="CD6" s="26" t="str">
        <f t="shared" si="69"/>
        <v>木</v>
      </c>
      <c r="CE6" s="26" t="str">
        <f t="shared" si="69"/>
        <v>金</v>
      </c>
      <c r="CF6" s="26" t="str">
        <f t="shared" si="69"/>
        <v>土</v>
      </c>
      <c r="CG6" s="26" t="str">
        <f t="shared" si="69"/>
        <v>日</v>
      </c>
      <c r="CH6" s="26" t="str">
        <f t="shared" si="69"/>
        <v>月</v>
      </c>
      <c r="CI6" s="26" t="str">
        <f t="shared" si="69"/>
        <v>火</v>
      </c>
      <c r="CJ6" s="26" t="str">
        <f t="shared" si="69"/>
        <v>水</v>
      </c>
      <c r="CK6" s="26" t="str">
        <f t="shared" si="69"/>
        <v>木</v>
      </c>
      <c r="CL6" s="26" t="str">
        <f t="shared" si="69"/>
        <v>金</v>
      </c>
      <c r="CM6" s="26" t="str">
        <f t="shared" si="69"/>
        <v>土</v>
      </c>
      <c r="CN6" s="26" t="str">
        <f t="shared" si="69"/>
        <v>日</v>
      </c>
      <c r="CO6" s="26" t="str">
        <f t="shared" si="69"/>
        <v>月</v>
      </c>
      <c r="CP6" s="26" t="str">
        <f t="shared" si="69"/>
        <v>火</v>
      </c>
      <c r="CQ6" s="26" t="str">
        <f t="shared" si="69"/>
        <v>水</v>
      </c>
      <c r="CR6" s="26" t="str">
        <f t="shared" si="69"/>
        <v>木</v>
      </c>
      <c r="CS6" s="26" t="str">
        <f t="shared" si="69"/>
        <v>金</v>
      </c>
      <c r="CT6" s="26" t="str">
        <f t="shared" si="69"/>
        <v>土</v>
      </c>
      <c r="CU6" s="26" t="str">
        <f t="shared" si="69"/>
        <v>日</v>
      </c>
      <c r="CV6" s="26" t="str">
        <f t="shared" si="69"/>
        <v>月</v>
      </c>
      <c r="CW6" s="26" t="str">
        <f t="shared" si="69"/>
        <v>火</v>
      </c>
      <c r="CX6" s="26" t="str">
        <f t="shared" si="69"/>
        <v>水</v>
      </c>
      <c r="CY6" s="26" t="str">
        <f t="shared" si="69"/>
        <v>木</v>
      </c>
      <c r="CZ6" s="26" t="str">
        <f t="shared" si="69"/>
        <v>金</v>
      </c>
      <c r="DA6" s="26" t="str">
        <f t="shared" si="69"/>
        <v>土</v>
      </c>
      <c r="DB6" s="26" t="str">
        <f t="shared" si="69"/>
        <v>日</v>
      </c>
      <c r="DC6" s="26" t="str">
        <f t="shared" si="69"/>
        <v>月</v>
      </c>
      <c r="DD6" s="26" t="str">
        <f t="shared" si="69"/>
        <v>火</v>
      </c>
      <c r="DE6" s="26" t="str">
        <f t="shared" si="69"/>
        <v>水</v>
      </c>
      <c r="DF6" s="26" t="str">
        <f t="shared" si="69"/>
        <v>木</v>
      </c>
      <c r="DG6" s="26" t="str">
        <f t="shared" si="69"/>
        <v>金</v>
      </c>
      <c r="DH6" s="26" t="str">
        <f t="shared" si="69"/>
        <v>土</v>
      </c>
      <c r="DI6" s="26" t="str">
        <f t="shared" si="69"/>
        <v>日</v>
      </c>
      <c r="DJ6" s="26" t="str">
        <f t="shared" si="69"/>
        <v>月</v>
      </c>
      <c r="DK6" s="26" t="str">
        <f t="shared" si="69"/>
        <v>火</v>
      </c>
      <c r="DL6" s="26" t="str">
        <f t="shared" si="69"/>
        <v>水</v>
      </c>
      <c r="DM6" s="26" t="str">
        <f t="shared" si="69"/>
        <v>木</v>
      </c>
      <c r="DN6" s="26" t="str">
        <f t="shared" si="69"/>
        <v>金</v>
      </c>
      <c r="DO6" s="26" t="str">
        <f t="shared" si="69"/>
        <v>土</v>
      </c>
      <c r="DP6" s="26" t="str">
        <f t="shared" si="69"/>
        <v>日</v>
      </c>
      <c r="DQ6" s="26" t="str">
        <f t="shared" ref="DQ6:ED6" si="70">LEFT(TEXT(DQ5,"aaa"),1)</f>
        <v>月</v>
      </c>
      <c r="DR6" s="26" t="str">
        <f t="shared" si="70"/>
        <v>火</v>
      </c>
      <c r="DS6" s="26" t="str">
        <f t="shared" si="70"/>
        <v>水</v>
      </c>
      <c r="DT6" s="26" t="str">
        <f t="shared" si="70"/>
        <v>木</v>
      </c>
      <c r="DU6" s="26" t="str">
        <f t="shared" si="70"/>
        <v>金</v>
      </c>
      <c r="DV6" s="26" t="str">
        <f t="shared" si="70"/>
        <v>土</v>
      </c>
      <c r="DW6" s="26" t="str">
        <f t="shared" si="70"/>
        <v>日</v>
      </c>
      <c r="DX6" s="26" t="str">
        <f t="shared" si="70"/>
        <v>月</v>
      </c>
      <c r="DY6" s="26" t="str">
        <f t="shared" si="70"/>
        <v>火</v>
      </c>
      <c r="DZ6" s="26" t="str">
        <f t="shared" si="70"/>
        <v>水</v>
      </c>
      <c r="EA6" s="26" t="str">
        <f t="shared" si="70"/>
        <v>木</v>
      </c>
      <c r="EB6" s="26" t="str">
        <f t="shared" si="70"/>
        <v>金</v>
      </c>
      <c r="EC6" s="26" t="str">
        <f t="shared" si="70"/>
        <v>土</v>
      </c>
      <c r="ED6" s="26" t="str">
        <f t="shared" si="70"/>
        <v>日</v>
      </c>
    </row>
    <row r="7" spans="1:134" ht="30" hidden="1" customHeight="1" thickBot="1" x14ac:dyDescent="0.35">
      <c r="A7" s="6" t="s">
        <v>6</v>
      </c>
      <c r="C7" s="8"/>
      <c r="E7"/>
      <c r="H7" t="str">
        <f>IF(OR(ISBLANK(タスク_開始),ISBLANK(タスク_終了)),"",タスク_終了-タスク_開始+1)</f>
        <v/>
      </c>
      <c r="I7" s="4"/>
      <c r="J7" s="4"/>
      <c r="K7" s="4"/>
      <c r="L7" s="4"/>
      <c r="M7" s="4"/>
      <c r="N7" s="4"/>
      <c r="O7" s="4"/>
      <c r="P7" s="4"/>
      <c r="Q7" s="4"/>
      <c r="R7" s="4"/>
      <c r="S7" s="4"/>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c r="BK7" s="4"/>
      <c r="BL7" s="4"/>
      <c r="BM7" s="4"/>
      <c r="BN7" s="4"/>
      <c r="BO7" s="4"/>
      <c r="BP7" s="4"/>
      <c r="BQ7" s="4"/>
      <c r="BR7" s="4"/>
      <c r="BS7" s="4"/>
      <c r="BT7" s="4"/>
      <c r="BU7" s="4"/>
      <c r="BV7" s="4"/>
      <c r="BW7" s="4"/>
      <c r="BX7" s="4"/>
      <c r="BY7" s="4"/>
      <c r="BZ7" s="4"/>
      <c r="CA7" s="4"/>
      <c r="CB7" s="4"/>
      <c r="CC7" s="4"/>
      <c r="CD7" s="4"/>
      <c r="CE7" s="4"/>
      <c r="CF7" s="4"/>
      <c r="CG7" s="4"/>
      <c r="CH7" s="4"/>
      <c r="CI7" s="4"/>
      <c r="CJ7" s="4"/>
      <c r="CK7" s="4"/>
      <c r="CL7" s="4"/>
      <c r="CM7" s="4"/>
      <c r="CN7" s="4"/>
      <c r="CO7" s="4"/>
      <c r="CP7" s="4"/>
      <c r="CQ7" s="4"/>
      <c r="CR7" s="4"/>
      <c r="CS7" s="4"/>
      <c r="CT7" s="4"/>
      <c r="CU7" s="4"/>
      <c r="CV7" s="4"/>
      <c r="CW7" s="4"/>
      <c r="CX7" s="4"/>
      <c r="CY7" s="4"/>
      <c r="CZ7" s="4"/>
      <c r="DA7" s="4"/>
      <c r="DB7" s="4"/>
      <c r="DC7" s="4"/>
      <c r="DD7" s="4"/>
      <c r="DE7" s="4"/>
      <c r="DF7" s="4"/>
      <c r="DG7" s="4"/>
      <c r="DH7" s="4"/>
      <c r="DI7" s="4"/>
      <c r="DJ7" s="4"/>
      <c r="DK7" s="4"/>
      <c r="DL7" s="4"/>
      <c r="DM7" s="4"/>
      <c r="DN7" s="4"/>
      <c r="DO7" s="4"/>
      <c r="DP7" s="4"/>
      <c r="DQ7" s="4"/>
      <c r="DR7" s="4"/>
      <c r="DS7" s="4"/>
      <c r="DT7" s="4"/>
      <c r="DU7" s="4"/>
      <c r="DV7" s="4"/>
      <c r="DW7" s="4"/>
      <c r="DX7" s="4"/>
      <c r="DY7" s="4"/>
      <c r="DZ7" s="4"/>
      <c r="EA7" s="4"/>
      <c r="EB7" s="4"/>
      <c r="EC7" s="4"/>
      <c r="ED7" s="4"/>
    </row>
    <row r="8" spans="1:134" s="1" customFormat="1" ht="30" customHeight="1" thickBot="1" x14ac:dyDescent="0.35">
      <c r="A8" s="7" t="s">
        <v>7</v>
      </c>
      <c r="B8" s="61" t="s">
        <v>39</v>
      </c>
      <c r="C8" s="58" t="s">
        <v>38</v>
      </c>
      <c r="D8" s="59"/>
      <c r="E8" s="60"/>
      <c r="F8" s="60"/>
      <c r="G8" s="29"/>
      <c r="H8" s="29" t="str">
        <f t="shared" ref="H8:H24" si="71">IF(OR(ISBLANK(タスク_開始),ISBLANK(タスク_終了)),"",タスク_終了-タスク_開始+1)</f>
        <v/>
      </c>
      <c r="I8" s="4"/>
      <c r="J8" s="4"/>
      <c r="K8" s="4"/>
      <c r="L8" s="4"/>
      <c r="M8" s="4"/>
      <c r="N8" s="4"/>
      <c r="O8" s="4"/>
      <c r="P8" s="4"/>
      <c r="Q8" s="4"/>
      <c r="R8" s="4"/>
      <c r="S8" s="4"/>
      <c r="T8" s="4"/>
      <c r="U8" s="4"/>
      <c r="V8" s="4"/>
      <c r="W8" s="4"/>
      <c r="X8" s="4"/>
      <c r="Y8" s="4"/>
      <c r="Z8" s="4"/>
      <c r="AA8" s="4"/>
      <c r="AB8" s="4"/>
      <c r="AC8" s="4"/>
      <c r="AD8" s="4"/>
      <c r="AE8" s="4"/>
      <c r="AF8" s="4"/>
      <c r="AG8" s="4"/>
      <c r="AH8" s="4"/>
      <c r="AI8" s="4"/>
      <c r="AJ8" s="4"/>
      <c r="AK8" s="4"/>
      <c r="AL8" s="4"/>
      <c r="AM8" s="4"/>
      <c r="AN8" s="4"/>
      <c r="AO8" s="4"/>
      <c r="AP8" s="4"/>
      <c r="AQ8" s="4"/>
      <c r="AR8" s="4"/>
      <c r="AS8" s="4"/>
      <c r="AT8" s="4"/>
      <c r="AU8" s="4"/>
      <c r="AV8" s="4"/>
      <c r="AW8" s="4"/>
      <c r="AX8" s="4"/>
      <c r="AY8" s="4"/>
      <c r="AZ8" s="4"/>
      <c r="BA8" s="4"/>
      <c r="BB8" s="4"/>
      <c r="BC8" s="4"/>
      <c r="BD8" s="4"/>
      <c r="BE8" s="4"/>
      <c r="BF8" s="4"/>
      <c r="BG8" s="4"/>
      <c r="BH8" s="4"/>
      <c r="BI8" s="4"/>
      <c r="BJ8" s="4"/>
      <c r="BK8" s="4"/>
      <c r="BL8" s="4"/>
      <c r="BM8" s="4"/>
      <c r="BN8" s="4"/>
      <c r="BO8" s="4"/>
      <c r="BP8" s="4"/>
      <c r="BQ8" s="4"/>
      <c r="BR8" s="4"/>
      <c r="BS8" s="4"/>
      <c r="BT8" s="4"/>
      <c r="BU8" s="4"/>
      <c r="BV8" s="4"/>
      <c r="BW8" s="4"/>
      <c r="BX8" s="4"/>
      <c r="BY8" s="4"/>
      <c r="BZ8" s="4"/>
      <c r="CA8" s="4"/>
      <c r="CB8" s="4"/>
      <c r="CC8" s="4"/>
      <c r="CD8" s="4"/>
      <c r="CE8" s="4"/>
      <c r="CF8" s="4"/>
      <c r="CG8" s="4"/>
      <c r="CH8" s="4"/>
      <c r="CI8" s="4"/>
      <c r="CJ8" s="4"/>
      <c r="CK8" s="4"/>
      <c r="CL8" s="4"/>
      <c r="CM8" s="4"/>
      <c r="CN8" s="4"/>
      <c r="CO8" s="4"/>
      <c r="CP8" s="4"/>
      <c r="CQ8" s="4"/>
      <c r="CR8" s="4"/>
      <c r="CS8" s="4"/>
      <c r="CT8" s="4"/>
      <c r="CU8" s="4"/>
      <c r="CV8" s="4"/>
      <c r="CW8" s="4"/>
      <c r="CX8" s="4"/>
      <c r="CY8" s="4"/>
      <c r="CZ8" s="4"/>
      <c r="DA8" s="4"/>
      <c r="DB8" s="4"/>
      <c r="DC8" s="4"/>
      <c r="DD8" s="4"/>
      <c r="DE8" s="4"/>
      <c r="DF8" s="4"/>
      <c r="DG8" s="4"/>
      <c r="DH8" s="4"/>
      <c r="DI8" s="4"/>
      <c r="DJ8" s="4"/>
      <c r="DK8" s="4"/>
      <c r="DL8" s="4"/>
      <c r="DM8" s="4"/>
      <c r="DN8" s="4"/>
      <c r="DO8" s="4"/>
      <c r="DP8" s="4"/>
      <c r="DQ8" s="4"/>
      <c r="DR8" s="4"/>
      <c r="DS8" s="4"/>
      <c r="DT8" s="4"/>
      <c r="DU8" s="4"/>
      <c r="DV8" s="4"/>
      <c r="DW8" s="4"/>
      <c r="DX8" s="4"/>
      <c r="DY8" s="4"/>
      <c r="DZ8" s="4"/>
      <c r="EA8" s="4"/>
      <c r="EB8" s="4"/>
      <c r="EC8" s="4"/>
      <c r="ED8" s="4"/>
    </row>
    <row r="9" spans="1:134" s="1" customFormat="1" ht="30" customHeight="1" thickBot="1" x14ac:dyDescent="0.35">
      <c r="A9" s="7"/>
      <c r="B9" s="57" t="s">
        <v>41</v>
      </c>
      <c r="C9" s="54" t="s">
        <v>38</v>
      </c>
      <c r="D9" s="55"/>
      <c r="E9" s="56"/>
      <c r="F9" s="56"/>
      <c r="G9" s="29"/>
      <c r="H9" s="29"/>
      <c r="I9" s="4"/>
      <c r="J9" s="4"/>
      <c r="K9" s="4"/>
      <c r="L9" s="4"/>
      <c r="M9" s="4"/>
      <c r="N9" s="4"/>
      <c r="O9" s="4"/>
      <c r="P9" s="4"/>
      <c r="Q9" s="4"/>
      <c r="R9" s="4"/>
      <c r="S9" s="4"/>
      <c r="T9" s="4"/>
      <c r="U9" s="4"/>
      <c r="V9" s="4"/>
      <c r="W9" s="4"/>
      <c r="X9" s="4"/>
      <c r="Y9" s="4"/>
      <c r="Z9" s="4"/>
      <c r="AA9" s="4"/>
      <c r="AB9" s="4"/>
      <c r="AC9" s="4"/>
      <c r="AD9" s="4"/>
      <c r="AE9" s="4"/>
      <c r="AF9" s="4"/>
      <c r="AG9" s="4"/>
      <c r="AH9" s="4"/>
      <c r="AI9" s="4"/>
      <c r="AJ9" s="4"/>
      <c r="AK9" s="4"/>
      <c r="AL9" s="4"/>
      <c r="AM9" s="4"/>
      <c r="AN9" s="4"/>
      <c r="AO9" s="4"/>
      <c r="AP9" s="4"/>
      <c r="AQ9" s="4"/>
      <c r="AR9" s="4"/>
      <c r="AS9" s="4"/>
      <c r="AT9" s="4"/>
      <c r="AU9" s="4"/>
      <c r="AV9" s="4"/>
      <c r="AW9" s="4"/>
      <c r="AX9" s="4"/>
      <c r="AY9" s="4"/>
      <c r="AZ9" s="4"/>
      <c r="BA9" s="4"/>
      <c r="BB9" s="4"/>
      <c r="BC9" s="4"/>
      <c r="BD9" s="4"/>
      <c r="BE9" s="4"/>
      <c r="BF9" s="4"/>
      <c r="BG9" s="4"/>
      <c r="BH9" s="4"/>
      <c r="BI9" s="4"/>
      <c r="BJ9" s="4"/>
      <c r="BK9" s="4"/>
      <c r="BL9" s="4"/>
      <c r="BM9" s="4"/>
      <c r="BN9" s="4"/>
      <c r="BO9" s="4"/>
      <c r="BP9" s="4"/>
      <c r="BQ9" s="4"/>
      <c r="BR9" s="4"/>
      <c r="BS9" s="4"/>
      <c r="BT9" s="4"/>
      <c r="BU9" s="4"/>
      <c r="BV9" s="4"/>
      <c r="BW9" s="4"/>
      <c r="BX9" s="4"/>
      <c r="BY9" s="4"/>
      <c r="BZ9" s="4"/>
      <c r="CA9" s="4"/>
      <c r="CB9" s="4"/>
      <c r="CC9" s="4"/>
      <c r="CD9" s="4"/>
      <c r="CE9" s="4"/>
      <c r="CF9" s="4"/>
      <c r="CG9" s="4"/>
      <c r="CH9" s="4"/>
      <c r="CI9" s="4"/>
      <c r="CJ9" s="4"/>
      <c r="CK9" s="4"/>
      <c r="CL9" s="4"/>
      <c r="CM9" s="4"/>
      <c r="CN9" s="4"/>
      <c r="CO9" s="4"/>
      <c r="CP9" s="4"/>
      <c r="CQ9" s="4"/>
      <c r="CR9" s="4"/>
      <c r="CS9" s="4"/>
      <c r="CT9" s="4"/>
      <c r="CU9" s="4"/>
      <c r="CV9" s="4"/>
      <c r="CW9" s="4"/>
      <c r="CX9" s="4"/>
      <c r="CY9" s="4"/>
      <c r="CZ9" s="4"/>
      <c r="DA9" s="4"/>
      <c r="DB9" s="4"/>
      <c r="DC9" s="4"/>
      <c r="DD9" s="4"/>
      <c r="DE9" s="4"/>
      <c r="DF9" s="4"/>
      <c r="DG9" s="4"/>
      <c r="DH9" s="4"/>
      <c r="DI9" s="4"/>
      <c r="DJ9" s="4"/>
      <c r="DK9" s="4"/>
      <c r="DL9" s="4"/>
      <c r="DM9" s="4"/>
      <c r="DN9" s="4"/>
      <c r="DO9" s="4"/>
      <c r="DP9" s="4"/>
      <c r="DQ9" s="4"/>
      <c r="DR9" s="4"/>
      <c r="DS9" s="4"/>
      <c r="DT9" s="4"/>
      <c r="DU9" s="4"/>
      <c r="DV9" s="4"/>
      <c r="DW9" s="4"/>
      <c r="DX9" s="4"/>
      <c r="DY9" s="4"/>
      <c r="DZ9" s="4"/>
      <c r="EA9" s="4"/>
      <c r="EB9" s="4"/>
      <c r="EC9" s="4"/>
      <c r="ED9" s="4"/>
    </row>
    <row r="10" spans="1:134" s="1" customFormat="1" ht="30" customHeight="1" thickBot="1" x14ac:dyDescent="0.35">
      <c r="A10" s="7"/>
      <c r="B10" s="27" t="s">
        <v>42</v>
      </c>
      <c r="C10" s="12" t="s">
        <v>38</v>
      </c>
      <c r="D10" s="28"/>
      <c r="E10" s="47"/>
      <c r="F10" s="48"/>
      <c r="G10" s="29"/>
      <c r="H10" s="29"/>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4"/>
      <c r="BB10" s="4"/>
      <c r="BC10" s="4"/>
      <c r="BD10" s="4"/>
      <c r="BE10" s="4"/>
      <c r="BF10" s="4"/>
      <c r="BG10" s="4"/>
      <c r="BH10" s="4"/>
      <c r="BI10" s="4"/>
      <c r="BJ10" s="4"/>
      <c r="BK10" s="4"/>
      <c r="BL10" s="4"/>
      <c r="BM10" s="4"/>
      <c r="BN10" s="4"/>
      <c r="BO10" s="4"/>
      <c r="BP10" s="4"/>
      <c r="BQ10" s="4"/>
      <c r="BR10" s="4"/>
      <c r="BS10" s="4"/>
      <c r="BT10" s="4"/>
      <c r="BU10" s="4"/>
      <c r="BV10" s="4"/>
      <c r="BW10" s="4"/>
      <c r="BX10" s="4"/>
      <c r="BY10" s="4"/>
      <c r="BZ10" s="4"/>
      <c r="CA10" s="4"/>
      <c r="CB10" s="4"/>
      <c r="CC10" s="4"/>
      <c r="CD10" s="4"/>
      <c r="CE10" s="4"/>
      <c r="CF10" s="4"/>
      <c r="CG10" s="4"/>
      <c r="CH10" s="4"/>
      <c r="CI10" s="4"/>
      <c r="CJ10" s="4"/>
      <c r="CK10" s="4"/>
      <c r="CL10" s="4"/>
      <c r="CM10" s="4"/>
      <c r="CN10" s="4"/>
      <c r="CO10" s="4"/>
      <c r="CP10" s="4"/>
      <c r="CQ10" s="4"/>
      <c r="CR10" s="4"/>
      <c r="CS10" s="4"/>
      <c r="CT10" s="4"/>
      <c r="CU10" s="4"/>
      <c r="CV10" s="4"/>
      <c r="CW10" s="4"/>
      <c r="CX10" s="4"/>
      <c r="CY10" s="4"/>
      <c r="CZ10" s="4"/>
      <c r="DA10" s="4"/>
      <c r="DB10" s="4"/>
      <c r="DC10" s="4"/>
      <c r="DD10" s="4"/>
      <c r="DE10" s="4"/>
      <c r="DF10" s="4"/>
      <c r="DG10" s="4"/>
      <c r="DH10" s="4"/>
      <c r="DI10" s="4"/>
      <c r="DJ10" s="4"/>
      <c r="DK10" s="4"/>
      <c r="DL10" s="4"/>
      <c r="DM10" s="4"/>
      <c r="DN10" s="4"/>
      <c r="DO10" s="4"/>
      <c r="DP10" s="4"/>
      <c r="DQ10" s="4"/>
      <c r="DR10" s="4"/>
      <c r="DS10" s="4"/>
      <c r="DT10" s="4"/>
      <c r="DU10" s="4"/>
      <c r="DV10" s="4"/>
      <c r="DW10" s="4"/>
      <c r="DX10" s="4"/>
      <c r="DY10" s="4"/>
      <c r="DZ10" s="4"/>
      <c r="EA10" s="4"/>
      <c r="EB10" s="4"/>
      <c r="EC10" s="4"/>
      <c r="ED10" s="4"/>
    </row>
    <row r="11" spans="1:134" s="1" customFormat="1" ht="30" customHeight="1" thickBot="1" x14ac:dyDescent="0.35">
      <c r="A11" s="7" t="s">
        <v>8</v>
      </c>
      <c r="B11" s="15" t="s">
        <v>43</v>
      </c>
      <c r="C11" s="13" t="s">
        <v>38</v>
      </c>
      <c r="D11" s="30">
        <v>0.5</v>
      </c>
      <c r="E11" s="49">
        <f>プロジェクトの開始</f>
        <v>46314</v>
      </c>
      <c r="F11" s="49">
        <f>E11</f>
        <v>46314</v>
      </c>
      <c r="G11" s="29"/>
      <c r="H11" s="29">
        <f t="shared" si="71"/>
        <v>1</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4"/>
      <c r="BB11" s="4"/>
      <c r="BC11" s="4"/>
      <c r="BD11" s="4"/>
      <c r="BE11" s="4"/>
      <c r="BF11" s="4"/>
      <c r="BG11" s="4"/>
      <c r="BH11" s="4"/>
      <c r="BI11" s="4"/>
      <c r="BJ11" s="4"/>
      <c r="BK11" s="4"/>
      <c r="BL11" s="4"/>
      <c r="BM11" s="4"/>
      <c r="BN11" s="4"/>
      <c r="BO11" s="4"/>
      <c r="BP11" s="4"/>
      <c r="BQ11" s="4"/>
      <c r="BR11" s="4"/>
      <c r="BS11" s="4"/>
      <c r="BT11" s="4"/>
      <c r="BU11" s="4"/>
      <c r="BV11" s="4"/>
      <c r="BW11" s="4"/>
      <c r="BX11" s="4"/>
      <c r="BY11" s="4"/>
      <c r="BZ11" s="4"/>
      <c r="CA11" s="4"/>
      <c r="CB11" s="4"/>
      <c r="CC11" s="4"/>
      <c r="CD11" s="4"/>
      <c r="CE11" s="4"/>
      <c r="CF11" s="4"/>
      <c r="CG11" s="4"/>
      <c r="CH11" s="4"/>
      <c r="CI11" s="4"/>
      <c r="CJ11" s="4"/>
      <c r="CK11" s="4"/>
      <c r="CL11" s="4"/>
      <c r="CM11" s="4"/>
      <c r="CN11" s="4"/>
      <c r="CO11" s="4"/>
      <c r="CP11" s="4"/>
      <c r="CQ11" s="4"/>
      <c r="CR11" s="4"/>
      <c r="CS11" s="4"/>
      <c r="CT11" s="4"/>
      <c r="CU11" s="4"/>
      <c r="CV11" s="4"/>
      <c r="CW11" s="4"/>
      <c r="CX11" s="4"/>
      <c r="CY11" s="4"/>
      <c r="CZ11" s="4"/>
      <c r="DA11" s="4"/>
      <c r="DB11" s="4"/>
      <c r="DC11" s="4"/>
      <c r="DD11" s="4"/>
      <c r="DE11" s="4"/>
      <c r="DF11" s="4"/>
      <c r="DG11" s="4"/>
      <c r="DH11" s="4"/>
      <c r="DI11" s="4"/>
      <c r="DJ11" s="4"/>
      <c r="DK11" s="4"/>
      <c r="DL11" s="4"/>
      <c r="DM11" s="4"/>
      <c r="DN11" s="4"/>
      <c r="DO11" s="4"/>
      <c r="DP11" s="4"/>
      <c r="DQ11" s="4"/>
      <c r="DR11" s="4"/>
      <c r="DS11" s="4"/>
      <c r="DT11" s="4"/>
      <c r="DU11" s="4"/>
      <c r="DV11" s="4"/>
      <c r="DW11" s="4"/>
      <c r="DX11" s="4"/>
      <c r="DY11" s="4"/>
      <c r="DZ11" s="4"/>
      <c r="EA11" s="4"/>
      <c r="EB11" s="4"/>
      <c r="EC11" s="4"/>
      <c r="ED11" s="4"/>
    </row>
    <row r="12" spans="1:134" s="1" customFormat="1" ht="30" customHeight="1" thickBot="1" x14ac:dyDescent="0.35">
      <c r="A12" s="7" t="s">
        <v>9</v>
      </c>
      <c r="B12" s="15" t="s">
        <v>44</v>
      </c>
      <c r="C12" s="13" t="s">
        <v>38</v>
      </c>
      <c r="D12" s="30">
        <v>0.5</v>
      </c>
      <c r="E12" s="49">
        <f>F11</f>
        <v>46314</v>
      </c>
      <c r="F12" s="49">
        <f>E12</f>
        <v>46314</v>
      </c>
      <c r="G12" s="29"/>
      <c r="H12" s="29">
        <f t="shared" si="71"/>
        <v>1</v>
      </c>
      <c r="I12" s="4"/>
      <c r="J12" s="4"/>
      <c r="K12" s="4"/>
      <c r="L12" s="4"/>
      <c r="M12" s="4"/>
      <c r="N12" s="4"/>
      <c r="O12" s="4"/>
      <c r="P12" s="4"/>
      <c r="Q12" s="4"/>
      <c r="R12" s="4"/>
      <c r="S12" s="4"/>
      <c r="T12" s="4"/>
      <c r="U12" s="5"/>
      <c r="V12" s="5"/>
      <c r="W12" s="4"/>
      <c r="X12" s="4"/>
      <c r="Y12" s="4"/>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4"/>
      <c r="BB12" s="4"/>
      <c r="BC12" s="4"/>
      <c r="BD12" s="4"/>
      <c r="BE12" s="4"/>
      <c r="BF12" s="4"/>
      <c r="BG12" s="4"/>
      <c r="BH12" s="4"/>
      <c r="BI12" s="4"/>
      <c r="BJ12" s="4"/>
      <c r="BK12" s="4"/>
      <c r="BL12" s="4"/>
      <c r="BM12" s="4"/>
      <c r="BN12" s="4"/>
      <c r="BO12" s="4"/>
      <c r="BP12" s="4"/>
      <c r="BQ12" s="4"/>
      <c r="BR12" s="4"/>
      <c r="BS12" s="4"/>
      <c r="BT12" s="4"/>
      <c r="BU12" s="4"/>
      <c r="BV12" s="4"/>
      <c r="BW12" s="4"/>
      <c r="BX12" s="4"/>
      <c r="BY12" s="4"/>
      <c r="BZ12" s="4"/>
      <c r="CA12" s="4"/>
      <c r="CB12" s="4"/>
      <c r="CC12" s="4"/>
      <c r="CD12" s="4"/>
      <c r="CE12" s="4"/>
      <c r="CF12" s="4"/>
      <c r="CG12" s="4"/>
      <c r="CH12" s="4"/>
      <c r="CI12" s="4"/>
      <c r="CJ12" s="4"/>
      <c r="CK12" s="4"/>
      <c r="CL12" s="4"/>
      <c r="CM12" s="4"/>
      <c r="CN12" s="4"/>
      <c r="CO12" s="4"/>
      <c r="CP12" s="4"/>
      <c r="CQ12" s="4"/>
      <c r="CR12" s="4"/>
      <c r="CS12" s="4"/>
      <c r="CT12" s="4"/>
      <c r="CU12" s="4"/>
      <c r="CV12" s="4"/>
      <c r="CW12" s="4"/>
      <c r="CX12" s="4"/>
      <c r="CY12" s="4"/>
      <c r="CZ12" s="4"/>
      <c r="DA12" s="4"/>
      <c r="DB12" s="4"/>
      <c r="DC12" s="4"/>
      <c r="DD12" s="4"/>
      <c r="DE12" s="4"/>
      <c r="DF12" s="4"/>
      <c r="DG12" s="4"/>
      <c r="DH12" s="4"/>
      <c r="DI12" s="4"/>
      <c r="DJ12" s="4"/>
      <c r="DK12" s="4"/>
      <c r="DL12" s="4"/>
      <c r="DM12" s="4"/>
      <c r="DN12" s="4"/>
      <c r="DO12" s="4"/>
      <c r="DP12" s="4"/>
      <c r="DQ12" s="4"/>
      <c r="DR12" s="4"/>
      <c r="DS12" s="4"/>
      <c r="DT12" s="4"/>
      <c r="DU12" s="4"/>
      <c r="DV12" s="4"/>
      <c r="DW12" s="4"/>
      <c r="DX12" s="4"/>
      <c r="DY12" s="4"/>
      <c r="DZ12" s="4"/>
      <c r="EA12" s="4"/>
      <c r="EB12" s="4"/>
      <c r="EC12" s="4"/>
      <c r="ED12" s="4"/>
    </row>
    <row r="13" spans="1:134" s="1" customFormat="1" ht="30" customHeight="1" thickBot="1" x14ac:dyDescent="0.35">
      <c r="A13" s="6"/>
      <c r="B13" s="15" t="s">
        <v>45</v>
      </c>
      <c r="C13" s="13" t="s">
        <v>38</v>
      </c>
      <c r="D13" s="30">
        <v>0.5</v>
      </c>
      <c r="E13" s="49">
        <f>F12</f>
        <v>46314</v>
      </c>
      <c r="F13" s="49">
        <f>E13</f>
        <v>46314</v>
      </c>
      <c r="G13" s="29"/>
      <c r="H13" s="29">
        <f t="shared" si="71"/>
        <v>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4"/>
      <c r="AZ13" s="4"/>
      <c r="BA13" s="4"/>
      <c r="BB13" s="4"/>
      <c r="BC13" s="4"/>
      <c r="BD13" s="4"/>
      <c r="BE13" s="4"/>
      <c r="BF13" s="4"/>
      <c r="BG13" s="4"/>
      <c r="BH13" s="4"/>
      <c r="BI13" s="4"/>
      <c r="BJ13" s="4"/>
      <c r="BK13" s="4"/>
      <c r="BL13" s="4"/>
      <c r="BM13" s="4"/>
      <c r="BN13" s="4"/>
      <c r="BO13" s="4"/>
      <c r="BP13" s="4"/>
      <c r="BQ13" s="4"/>
      <c r="BR13" s="4"/>
      <c r="BS13" s="4"/>
      <c r="BT13" s="4"/>
      <c r="BU13" s="4"/>
      <c r="BV13" s="4"/>
      <c r="BW13" s="4"/>
      <c r="BX13" s="4"/>
      <c r="BY13" s="4"/>
      <c r="BZ13" s="4"/>
      <c r="CA13" s="4"/>
      <c r="CB13" s="4"/>
      <c r="CC13" s="4"/>
      <c r="CD13" s="4"/>
      <c r="CE13" s="4"/>
      <c r="CF13" s="4"/>
      <c r="CG13" s="4"/>
      <c r="CH13" s="4"/>
      <c r="CI13" s="4"/>
      <c r="CJ13" s="4"/>
      <c r="CK13" s="4"/>
      <c r="CL13" s="4"/>
      <c r="CM13" s="4"/>
      <c r="CN13" s="4"/>
      <c r="CO13" s="4"/>
      <c r="CP13" s="4"/>
      <c r="CQ13" s="4"/>
      <c r="CR13" s="4"/>
      <c r="CS13" s="4"/>
      <c r="CT13" s="4"/>
      <c r="CU13" s="4"/>
      <c r="CV13" s="4"/>
      <c r="CW13" s="4"/>
      <c r="CX13" s="4"/>
      <c r="CY13" s="4"/>
      <c r="CZ13" s="4"/>
      <c r="DA13" s="4"/>
      <c r="DB13" s="4"/>
      <c r="DC13" s="4"/>
      <c r="DD13" s="4"/>
      <c r="DE13" s="4"/>
      <c r="DF13" s="4"/>
      <c r="DG13" s="4"/>
      <c r="DH13" s="4"/>
      <c r="DI13" s="4"/>
      <c r="DJ13" s="4"/>
      <c r="DK13" s="4"/>
      <c r="DL13" s="4"/>
      <c r="DM13" s="4"/>
      <c r="DN13" s="4"/>
      <c r="DO13" s="4"/>
      <c r="DP13" s="4"/>
      <c r="DQ13" s="4"/>
      <c r="DR13" s="4"/>
      <c r="DS13" s="4"/>
      <c r="DT13" s="4"/>
      <c r="DU13" s="4"/>
      <c r="DV13" s="4"/>
      <c r="DW13" s="4"/>
      <c r="DX13" s="4"/>
      <c r="DY13" s="4"/>
      <c r="DZ13" s="4"/>
      <c r="EA13" s="4"/>
      <c r="EB13" s="4"/>
      <c r="EC13" s="4"/>
      <c r="ED13" s="4"/>
    </row>
    <row r="14" spans="1:134" s="1" customFormat="1" ht="30" customHeight="1" thickBot="1" x14ac:dyDescent="0.35">
      <c r="A14" s="6"/>
      <c r="B14" s="27" t="s">
        <v>46</v>
      </c>
      <c r="C14" s="12" t="s">
        <v>38</v>
      </c>
      <c r="D14" s="28"/>
      <c r="E14" s="47"/>
      <c r="F14" s="48"/>
      <c r="G14" s="29"/>
      <c r="H14" s="29"/>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4"/>
      <c r="AZ14" s="4"/>
      <c r="BA14" s="4"/>
      <c r="BB14" s="4"/>
      <c r="BC14" s="4"/>
      <c r="BD14" s="4"/>
      <c r="BE14" s="4"/>
      <c r="BF14" s="4"/>
      <c r="BG14" s="4"/>
      <c r="BH14" s="4"/>
      <c r="BI14" s="4"/>
      <c r="BJ14" s="4"/>
      <c r="BK14" s="4"/>
      <c r="BL14" s="4"/>
      <c r="BM14" s="4"/>
      <c r="BN14" s="4"/>
      <c r="BO14" s="4"/>
      <c r="BP14" s="4"/>
      <c r="BQ14" s="4"/>
      <c r="BR14" s="4"/>
      <c r="BS14" s="4"/>
      <c r="BT14" s="4"/>
      <c r="BU14" s="4"/>
      <c r="BV14" s="4"/>
      <c r="BW14" s="4"/>
      <c r="BX14" s="4"/>
      <c r="BY14" s="4"/>
      <c r="BZ14" s="4"/>
      <c r="CA14" s="4"/>
      <c r="CB14" s="4"/>
      <c r="CC14" s="4"/>
      <c r="CD14" s="4"/>
      <c r="CE14" s="4"/>
      <c r="CF14" s="4"/>
      <c r="CG14" s="4"/>
      <c r="CH14" s="4"/>
      <c r="CI14" s="4"/>
      <c r="CJ14" s="4"/>
      <c r="CK14" s="4"/>
      <c r="CL14" s="4"/>
      <c r="CM14" s="4"/>
      <c r="CN14" s="4"/>
      <c r="CO14" s="4"/>
      <c r="CP14" s="4"/>
      <c r="CQ14" s="4"/>
      <c r="CR14" s="4"/>
      <c r="CS14" s="4"/>
      <c r="CT14" s="4"/>
      <c r="CU14" s="4"/>
      <c r="CV14" s="4"/>
      <c r="CW14" s="4"/>
      <c r="CX14" s="4"/>
      <c r="CY14" s="4"/>
      <c r="CZ14" s="4"/>
      <c r="DA14" s="4"/>
      <c r="DB14" s="4"/>
      <c r="DC14" s="4"/>
      <c r="DD14" s="4"/>
      <c r="DE14" s="4"/>
      <c r="DF14" s="4"/>
      <c r="DG14" s="4"/>
      <c r="DH14" s="4"/>
      <c r="DI14" s="4"/>
      <c r="DJ14" s="4"/>
      <c r="DK14" s="4"/>
      <c r="DL14" s="4"/>
      <c r="DM14" s="4"/>
      <c r="DN14" s="4"/>
      <c r="DO14" s="4"/>
      <c r="DP14" s="4"/>
      <c r="DQ14" s="4"/>
      <c r="DR14" s="4"/>
      <c r="DS14" s="4"/>
      <c r="DT14" s="4"/>
      <c r="DU14" s="4"/>
      <c r="DV14" s="4"/>
      <c r="DW14" s="4"/>
      <c r="DX14" s="4"/>
      <c r="DY14" s="4"/>
      <c r="DZ14" s="4"/>
      <c r="EA14" s="4"/>
      <c r="EB14" s="4"/>
      <c r="EC14" s="4"/>
      <c r="ED14" s="4"/>
    </row>
    <row r="15" spans="1:134" s="1" customFormat="1" ht="30" customHeight="1" thickBot="1" x14ac:dyDescent="0.35">
      <c r="A15" s="7" t="s">
        <v>10</v>
      </c>
      <c r="B15" s="15" t="s">
        <v>47</v>
      </c>
      <c r="C15" s="13" t="s">
        <v>38</v>
      </c>
      <c r="D15" s="30">
        <v>1</v>
      </c>
      <c r="E15" s="49">
        <f>プロジェクトの開始</f>
        <v>46314</v>
      </c>
      <c r="F15" s="49">
        <f>E15</f>
        <v>46314</v>
      </c>
      <c r="G15" s="29"/>
      <c r="H15" s="29">
        <f t="shared" si="71"/>
        <v>1</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4"/>
      <c r="AZ15" s="4"/>
      <c r="BA15" s="4"/>
      <c r="BB15" s="4"/>
      <c r="BC15" s="4"/>
      <c r="BD15" s="4"/>
      <c r="BE15" s="4"/>
      <c r="BF15" s="4"/>
      <c r="BG15" s="4"/>
      <c r="BH15" s="4"/>
      <c r="BI15" s="4"/>
      <c r="BJ15" s="4"/>
      <c r="BK15" s="4"/>
      <c r="BL15" s="4"/>
      <c r="BM15" s="4"/>
      <c r="BN15" s="4"/>
      <c r="BO15" s="4"/>
      <c r="BP15" s="4"/>
      <c r="BQ15" s="4"/>
      <c r="BR15" s="4"/>
      <c r="BS15" s="4"/>
      <c r="BT15" s="4"/>
      <c r="BU15" s="4"/>
      <c r="BV15" s="4"/>
      <c r="BW15" s="4"/>
      <c r="BX15" s="4"/>
      <c r="BY15" s="4"/>
      <c r="BZ15" s="4"/>
      <c r="CA15" s="4"/>
      <c r="CB15" s="4"/>
      <c r="CC15" s="4"/>
      <c r="CD15" s="4"/>
      <c r="CE15" s="4"/>
      <c r="CF15" s="4"/>
      <c r="CG15" s="4"/>
      <c r="CH15" s="4"/>
      <c r="CI15" s="4"/>
      <c r="CJ15" s="4"/>
      <c r="CK15" s="4"/>
      <c r="CL15" s="4"/>
      <c r="CM15" s="4"/>
      <c r="CN15" s="4"/>
      <c r="CO15" s="4"/>
      <c r="CP15" s="4"/>
      <c r="CQ15" s="4"/>
      <c r="CR15" s="4"/>
      <c r="CS15" s="4"/>
      <c r="CT15" s="4"/>
      <c r="CU15" s="4"/>
      <c r="CV15" s="4"/>
      <c r="CW15" s="4"/>
      <c r="CX15" s="4"/>
      <c r="CY15" s="4"/>
      <c r="CZ15" s="4"/>
      <c r="DA15" s="4"/>
      <c r="DB15" s="4"/>
      <c r="DC15" s="4"/>
      <c r="DD15" s="4"/>
      <c r="DE15" s="4"/>
      <c r="DF15" s="4"/>
      <c r="DG15" s="4"/>
      <c r="DH15" s="4"/>
      <c r="DI15" s="4"/>
      <c r="DJ15" s="4"/>
      <c r="DK15" s="4"/>
      <c r="DL15" s="4"/>
      <c r="DM15" s="4"/>
      <c r="DN15" s="4"/>
      <c r="DO15" s="4"/>
      <c r="DP15" s="4"/>
      <c r="DQ15" s="4"/>
      <c r="DR15" s="4"/>
      <c r="DS15" s="4"/>
      <c r="DT15" s="4"/>
      <c r="DU15" s="4"/>
      <c r="DV15" s="4"/>
      <c r="DW15" s="4"/>
      <c r="DX15" s="4"/>
      <c r="DY15" s="4"/>
      <c r="DZ15" s="4"/>
      <c r="EA15" s="4"/>
      <c r="EB15" s="4"/>
      <c r="EC15" s="4"/>
      <c r="ED15" s="4"/>
    </row>
    <row r="16" spans="1:134" s="1" customFormat="1" ht="30" customHeight="1" thickBot="1" x14ac:dyDescent="0.35">
      <c r="A16" s="7"/>
      <c r="B16" s="15" t="s">
        <v>48</v>
      </c>
      <c r="C16" s="13" t="s">
        <v>38</v>
      </c>
      <c r="D16" s="30">
        <v>1</v>
      </c>
      <c r="E16" s="49">
        <f>F15</f>
        <v>46314</v>
      </c>
      <c r="F16" s="49">
        <f>E16</f>
        <v>46314</v>
      </c>
      <c r="G16" s="29"/>
      <c r="H16" s="29">
        <f t="shared" si="71"/>
        <v>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4"/>
      <c r="AZ16" s="4"/>
      <c r="BA16" s="4"/>
      <c r="BB16" s="4"/>
      <c r="BC16" s="4"/>
      <c r="BD16" s="4"/>
      <c r="BE16" s="4"/>
      <c r="BF16" s="4"/>
      <c r="BG16" s="4"/>
      <c r="BH16" s="4"/>
      <c r="BI16" s="4"/>
      <c r="BJ16" s="4"/>
      <c r="BK16" s="4"/>
      <c r="BL16" s="4"/>
      <c r="BM16" s="4"/>
      <c r="BN16" s="4"/>
      <c r="BO16" s="4"/>
      <c r="BP16" s="4"/>
      <c r="BQ16" s="4"/>
      <c r="BR16" s="4"/>
      <c r="BS16" s="4"/>
      <c r="BT16" s="4"/>
      <c r="BU16" s="4"/>
      <c r="BV16" s="4"/>
      <c r="BW16" s="4"/>
      <c r="BX16" s="4"/>
      <c r="BY16" s="4"/>
      <c r="BZ16" s="4"/>
      <c r="CA16" s="4"/>
      <c r="CB16" s="4"/>
      <c r="CC16" s="4"/>
      <c r="CD16" s="4"/>
      <c r="CE16" s="4"/>
      <c r="CF16" s="4"/>
      <c r="CG16" s="4"/>
      <c r="CH16" s="4"/>
      <c r="CI16" s="4"/>
      <c r="CJ16" s="4"/>
      <c r="CK16" s="4"/>
      <c r="CL16" s="4"/>
      <c r="CM16" s="4"/>
      <c r="CN16" s="4"/>
      <c r="CO16" s="4"/>
      <c r="CP16" s="4"/>
      <c r="CQ16" s="4"/>
      <c r="CR16" s="4"/>
      <c r="CS16" s="4"/>
      <c r="CT16" s="4"/>
      <c r="CU16" s="4"/>
      <c r="CV16" s="4"/>
      <c r="CW16" s="4"/>
      <c r="CX16" s="4"/>
      <c r="CY16" s="4"/>
      <c r="CZ16" s="4"/>
      <c r="DA16" s="4"/>
      <c r="DB16" s="4"/>
      <c r="DC16" s="4"/>
      <c r="DD16" s="4"/>
      <c r="DE16" s="4"/>
      <c r="DF16" s="4"/>
      <c r="DG16" s="4"/>
      <c r="DH16" s="4"/>
      <c r="DI16" s="4"/>
      <c r="DJ16" s="4"/>
      <c r="DK16" s="4"/>
      <c r="DL16" s="4"/>
      <c r="DM16" s="4"/>
      <c r="DN16" s="4"/>
      <c r="DO16" s="4"/>
      <c r="DP16" s="4"/>
      <c r="DQ16" s="4"/>
      <c r="DR16" s="4"/>
      <c r="DS16" s="4"/>
      <c r="DT16" s="4"/>
      <c r="DU16" s="4"/>
      <c r="DV16" s="4"/>
      <c r="DW16" s="4"/>
      <c r="DX16" s="4"/>
      <c r="DY16" s="4"/>
      <c r="DZ16" s="4"/>
      <c r="EA16" s="4"/>
      <c r="EB16" s="4"/>
      <c r="EC16" s="4"/>
      <c r="ED16" s="4"/>
    </row>
    <row r="17" spans="1:134" s="1" customFormat="1" ht="30" customHeight="1" thickBot="1" x14ac:dyDescent="0.35">
      <c r="A17" s="6" t="s">
        <v>11</v>
      </c>
      <c r="B17" s="27" t="s">
        <v>49</v>
      </c>
      <c r="C17" s="12" t="s">
        <v>38</v>
      </c>
      <c r="D17" s="28"/>
      <c r="E17" s="47"/>
      <c r="F17" s="48"/>
      <c r="G17" s="29"/>
      <c r="H17" s="29" t="str">
        <f t="shared" si="71"/>
        <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c r="AP17" s="4"/>
      <c r="AQ17" s="4"/>
      <c r="AR17" s="4"/>
      <c r="AS17" s="4"/>
      <c r="AT17" s="4"/>
      <c r="AU17" s="4"/>
      <c r="AV17" s="4"/>
      <c r="AW17" s="4"/>
      <c r="AX17" s="4"/>
      <c r="AY17" s="4"/>
      <c r="AZ17" s="4"/>
      <c r="BA17" s="4"/>
      <c r="BB17" s="4"/>
      <c r="BC17" s="4"/>
      <c r="BD17" s="4"/>
      <c r="BE17" s="4"/>
      <c r="BF17" s="4"/>
      <c r="BG17" s="4"/>
      <c r="BH17" s="4"/>
      <c r="BI17" s="4"/>
      <c r="BJ17" s="4"/>
      <c r="BK17" s="4"/>
      <c r="BL17" s="4"/>
      <c r="BM17" s="4"/>
      <c r="BN17" s="4"/>
      <c r="BO17" s="4"/>
      <c r="BP17" s="4"/>
      <c r="BQ17" s="4"/>
      <c r="BR17" s="4"/>
      <c r="BS17" s="4"/>
      <c r="BT17" s="4"/>
      <c r="BU17" s="4"/>
      <c r="BV17" s="4"/>
      <c r="BW17" s="4"/>
      <c r="BX17" s="4"/>
      <c r="BY17" s="4"/>
      <c r="BZ17" s="4"/>
      <c r="CA17" s="4"/>
      <c r="CB17" s="4"/>
      <c r="CC17" s="4"/>
      <c r="CD17" s="4"/>
      <c r="CE17" s="4"/>
      <c r="CF17" s="4"/>
      <c r="CG17" s="4"/>
      <c r="CH17" s="4"/>
      <c r="CI17" s="4"/>
      <c r="CJ17" s="4"/>
      <c r="CK17" s="4"/>
      <c r="CL17" s="4"/>
      <c r="CM17" s="4"/>
      <c r="CN17" s="4"/>
      <c r="CO17" s="4"/>
      <c r="CP17" s="4"/>
      <c r="CQ17" s="4"/>
      <c r="CR17" s="4"/>
      <c r="CS17" s="4"/>
      <c r="CT17" s="4"/>
      <c r="CU17" s="4"/>
      <c r="CV17" s="4"/>
      <c r="CW17" s="4"/>
      <c r="CX17" s="4"/>
      <c r="CY17" s="4"/>
      <c r="CZ17" s="4"/>
      <c r="DA17" s="4"/>
      <c r="DB17" s="4"/>
      <c r="DC17" s="4"/>
      <c r="DD17" s="4"/>
      <c r="DE17" s="4"/>
      <c r="DF17" s="4"/>
      <c r="DG17" s="4"/>
      <c r="DH17" s="4"/>
      <c r="DI17" s="4"/>
      <c r="DJ17" s="4"/>
      <c r="DK17" s="4"/>
      <c r="DL17" s="4"/>
      <c r="DM17" s="4"/>
      <c r="DN17" s="4"/>
      <c r="DO17" s="4"/>
      <c r="DP17" s="4"/>
      <c r="DQ17" s="4"/>
      <c r="DR17" s="4"/>
      <c r="DS17" s="4"/>
      <c r="DT17" s="4"/>
      <c r="DU17" s="4"/>
      <c r="DV17" s="4"/>
      <c r="DW17" s="4"/>
      <c r="DX17" s="4"/>
      <c r="DY17" s="4"/>
      <c r="DZ17" s="4"/>
      <c r="EA17" s="4"/>
      <c r="EB17" s="4"/>
      <c r="EC17" s="4"/>
      <c r="ED17" s="4"/>
    </row>
    <row r="18" spans="1:134" s="1" customFormat="1" ht="30" customHeight="1" thickBot="1" x14ac:dyDescent="0.35">
      <c r="A18" s="6"/>
      <c r="B18" s="15" t="s">
        <v>50</v>
      </c>
      <c r="C18" s="13" t="s">
        <v>38</v>
      </c>
      <c r="D18" s="30">
        <v>0.8</v>
      </c>
      <c r="E18" s="49">
        <f>F16+1</f>
        <v>46315</v>
      </c>
      <c r="F18" s="49">
        <f>E18+1</f>
        <v>46316</v>
      </c>
      <c r="G18" s="29"/>
      <c r="H18" s="29">
        <f t="shared" si="71"/>
        <v>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c r="AL18" s="4"/>
      <c r="AM18" s="4"/>
      <c r="AN18" s="4"/>
      <c r="AO18" s="4"/>
      <c r="AP18" s="4"/>
      <c r="AQ18" s="4"/>
      <c r="AR18" s="4"/>
      <c r="AS18" s="4"/>
      <c r="AT18" s="4"/>
      <c r="AU18" s="4"/>
      <c r="AV18" s="4"/>
      <c r="AW18" s="4"/>
      <c r="AX18" s="4"/>
      <c r="AY18" s="4"/>
      <c r="AZ18" s="4"/>
      <c r="BA18" s="4"/>
      <c r="BB18" s="4"/>
      <c r="BC18" s="4"/>
      <c r="BD18" s="4"/>
      <c r="BE18" s="4"/>
      <c r="BF18" s="4"/>
      <c r="BG18" s="4"/>
      <c r="BH18" s="4"/>
      <c r="BI18" s="4"/>
      <c r="BJ18" s="4"/>
      <c r="BK18" s="4"/>
      <c r="BL18" s="4"/>
      <c r="BM18" s="4"/>
      <c r="BN18" s="4"/>
      <c r="BO18" s="4"/>
      <c r="BP18" s="4"/>
      <c r="BQ18" s="4"/>
      <c r="BR18" s="4"/>
      <c r="BS18" s="4"/>
      <c r="BT18" s="4"/>
      <c r="BU18" s="4"/>
      <c r="BV18" s="4"/>
      <c r="BW18" s="4"/>
      <c r="BX18" s="4"/>
      <c r="BY18" s="4"/>
      <c r="BZ18" s="4"/>
      <c r="CA18" s="4"/>
      <c r="CB18" s="4"/>
      <c r="CC18" s="4"/>
      <c r="CD18" s="4"/>
      <c r="CE18" s="4"/>
      <c r="CF18" s="4"/>
      <c r="CG18" s="4"/>
      <c r="CH18" s="4"/>
      <c r="CI18" s="4"/>
      <c r="CJ18" s="4"/>
      <c r="CK18" s="4"/>
      <c r="CL18" s="4"/>
      <c r="CM18" s="4"/>
      <c r="CN18" s="4"/>
      <c r="CO18" s="4"/>
      <c r="CP18" s="4"/>
      <c r="CQ18" s="4"/>
      <c r="CR18" s="4"/>
      <c r="CS18" s="4"/>
      <c r="CT18" s="4"/>
      <c r="CU18" s="4"/>
      <c r="CV18" s="4"/>
      <c r="CW18" s="4"/>
      <c r="CX18" s="4"/>
      <c r="CY18" s="4"/>
      <c r="CZ18" s="4"/>
      <c r="DA18" s="4"/>
      <c r="DB18" s="4"/>
      <c r="DC18" s="4"/>
      <c r="DD18" s="4"/>
      <c r="DE18" s="4"/>
      <c r="DF18" s="4"/>
      <c r="DG18" s="4"/>
      <c r="DH18" s="4"/>
      <c r="DI18" s="4"/>
      <c r="DJ18" s="4"/>
      <c r="DK18" s="4"/>
      <c r="DL18" s="4"/>
      <c r="DM18" s="4"/>
      <c r="DN18" s="4"/>
      <c r="DO18" s="4"/>
      <c r="DP18" s="4"/>
      <c r="DQ18" s="4"/>
      <c r="DR18" s="4"/>
      <c r="DS18" s="4"/>
      <c r="DT18" s="4"/>
      <c r="DU18" s="4"/>
      <c r="DV18" s="4"/>
      <c r="DW18" s="4"/>
      <c r="DX18" s="4"/>
      <c r="DY18" s="4"/>
      <c r="DZ18" s="4"/>
      <c r="EA18" s="4"/>
      <c r="EB18" s="4"/>
      <c r="EC18" s="4"/>
      <c r="ED18" s="4"/>
    </row>
    <row r="19" spans="1:134" s="1" customFormat="1" ht="30" customHeight="1" thickBot="1" x14ac:dyDescent="0.35">
      <c r="A19" s="6" t="s">
        <v>11</v>
      </c>
      <c r="B19" s="27" t="s">
        <v>51</v>
      </c>
      <c r="C19" s="12" t="s">
        <v>38</v>
      </c>
      <c r="D19" s="28"/>
      <c r="E19" s="47"/>
      <c r="F19" s="48"/>
      <c r="G19" s="29"/>
      <c r="H19" s="29" t="str">
        <f t="shared" si="71"/>
        <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c r="AL19" s="4"/>
      <c r="AM19" s="4"/>
      <c r="AN19" s="4"/>
      <c r="AO19" s="4"/>
      <c r="AP19" s="4"/>
      <c r="AQ19" s="4"/>
      <c r="AR19" s="4"/>
      <c r="AS19" s="4"/>
      <c r="AT19" s="4"/>
      <c r="AU19" s="4"/>
      <c r="AV19" s="4"/>
      <c r="AW19" s="4"/>
      <c r="AX19" s="4"/>
      <c r="AY19" s="4"/>
      <c r="AZ19" s="4"/>
      <c r="BA19" s="4"/>
      <c r="BB19" s="4"/>
      <c r="BC19" s="4"/>
      <c r="BD19" s="4"/>
      <c r="BE19" s="4"/>
      <c r="BF19" s="4"/>
      <c r="BG19" s="4"/>
      <c r="BH19" s="4"/>
      <c r="BI19" s="4"/>
      <c r="BJ19" s="4"/>
      <c r="BK19" s="4"/>
      <c r="BL19" s="4"/>
      <c r="BM19" s="4"/>
      <c r="BN19" s="4"/>
      <c r="BO19" s="4"/>
      <c r="BP19" s="4"/>
      <c r="BQ19" s="4"/>
      <c r="BR19" s="4"/>
      <c r="BS19" s="4"/>
      <c r="BT19" s="4"/>
      <c r="BU19" s="4"/>
      <c r="BV19" s="4"/>
      <c r="BW19" s="4"/>
      <c r="BX19" s="4"/>
      <c r="BY19" s="4"/>
      <c r="BZ19" s="4"/>
      <c r="CA19" s="4"/>
      <c r="CB19" s="4"/>
      <c r="CC19" s="4"/>
      <c r="CD19" s="4"/>
      <c r="CE19" s="4"/>
      <c r="CF19" s="4"/>
      <c r="CG19" s="4"/>
      <c r="CH19" s="4"/>
      <c r="CI19" s="4"/>
      <c r="CJ19" s="4"/>
      <c r="CK19" s="4"/>
      <c r="CL19" s="4"/>
      <c r="CM19" s="4"/>
      <c r="CN19" s="4"/>
      <c r="CO19" s="4"/>
      <c r="CP19" s="4"/>
      <c r="CQ19" s="4"/>
      <c r="CR19" s="4"/>
      <c r="CS19" s="4"/>
      <c r="CT19" s="4"/>
      <c r="CU19" s="4"/>
      <c r="CV19" s="4"/>
      <c r="CW19" s="4"/>
      <c r="CX19" s="4"/>
      <c r="CY19" s="4"/>
      <c r="CZ19" s="4"/>
      <c r="DA19" s="4"/>
      <c r="DB19" s="4"/>
      <c r="DC19" s="4"/>
      <c r="DD19" s="4"/>
      <c r="DE19" s="4"/>
      <c r="DF19" s="4"/>
      <c r="DG19" s="4"/>
      <c r="DH19" s="4"/>
      <c r="DI19" s="4"/>
      <c r="DJ19" s="4"/>
      <c r="DK19" s="4"/>
      <c r="DL19" s="4"/>
      <c r="DM19" s="4"/>
      <c r="DN19" s="4"/>
      <c r="DO19" s="4"/>
      <c r="DP19" s="4"/>
      <c r="DQ19" s="4"/>
      <c r="DR19" s="4"/>
      <c r="DS19" s="4"/>
      <c r="DT19" s="4"/>
      <c r="DU19" s="4"/>
      <c r="DV19" s="4"/>
      <c r="DW19" s="4"/>
      <c r="DX19" s="4"/>
      <c r="DY19" s="4"/>
      <c r="DZ19" s="4"/>
      <c r="EA19" s="4"/>
      <c r="EB19" s="4"/>
      <c r="EC19" s="4"/>
      <c r="ED19" s="4"/>
    </row>
    <row r="20" spans="1:134" s="1" customFormat="1" ht="30" customHeight="1" thickBot="1" x14ac:dyDescent="0.35">
      <c r="A20" s="6"/>
      <c r="B20" s="15" t="s">
        <v>52</v>
      </c>
      <c r="C20" s="13" t="s">
        <v>38</v>
      </c>
      <c r="D20" s="30">
        <v>0.5</v>
      </c>
      <c r="E20" s="49">
        <f>F18</f>
        <v>46316</v>
      </c>
      <c r="F20" s="49">
        <f>E20</f>
        <v>46316</v>
      </c>
      <c r="G20" s="29"/>
      <c r="H20" s="29">
        <f t="shared" si="71"/>
        <v>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c r="AP20" s="4"/>
      <c r="AQ20" s="4"/>
      <c r="AR20" s="4"/>
      <c r="AS20" s="4"/>
      <c r="AT20" s="4"/>
      <c r="AU20" s="4"/>
      <c r="AV20" s="4"/>
      <c r="AW20" s="4"/>
      <c r="AX20" s="4"/>
      <c r="AY20" s="4"/>
      <c r="AZ20" s="4"/>
      <c r="BA20" s="4"/>
      <c r="BB20" s="4"/>
      <c r="BC20" s="4"/>
      <c r="BD20" s="4"/>
      <c r="BE20" s="4"/>
      <c r="BF20" s="4"/>
      <c r="BG20" s="4"/>
      <c r="BH20" s="4"/>
      <c r="BI20" s="4"/>
      <c r="BJ20" s="4"/>
      <c r="BK20" s="4"/>
      <c r="BL20" s="4"/>
      <c r="BM20" s="4"/>
      <c r="BN20" s="4"/>
      <c r="BO20" s="4"/>
      <c r="BP20" s="4"/>
      <c r="BQ20" s="4"/>
      <c r="BR20" s="4"/>
      <c r="BS20" s="4"/>
      <c r="BT20" s="4"/>
      <c r="BU20" s="4"/>
      <c r="BV20" s="4"/>
      <c r="BW20" s="4"/>
      <c r="BX20" s="4"/>
      <c r="BY20" s="4"/>
      <c r="BZ20" s="4"/>
      <c r="CA20" s="4"/>
      <c r="CB20" s="4"/>
      <c r="CC20" s="4"/>
      <c r="CD20" s="4"/>
      <c r="CE20" s="4"/>
      <c r="CF20" s="4"/>
      <c r="CG20" s="4"/>
      <c r="CH20" s="4"/>
      <c r="CI20" s="4"/>
      <c r="CJ20" s="4"/>
      <c r="CK20" s="4"/>
      <c r="CL20" s="4"/>
      <c r="CM20" s="4"/>
      <c r="CN20" s="4"/>
      <c r="CO20" s="4"/>
      <c r="CP20" s="4"/>
      <c r="CQ20" s="4"/>
      <c r="CR20" s="4"/>
      <c r="CS20" s="4"/>
      <c r="CT20" s="4"/>
      <c r="CU20" s="4"/>
      <c r="CV20" s="4"/>
      <c r="CW20" s="4"/>
      <c r="CX20" s="4"/>
      <c r="CY20" s="4"/>
      <c r="CZ20" s="4"/>
      <c r="DA20" s="4"/>
      <c r="DB20" s="4"/>
      <c r="DC20" s="4"/>
      <c r="DD20" s="4"/>
      <c r="DE20" s="4"/>
      <c r="DF20" s="4"/>
      <c r="DG20" s="4"/>
      <c r="DH20" s="4"/>
      <c r="DI20" s="4"/>
      <c r="DJ20" s="4"/>
      <c r="DK20" s="4"/>
      <c r="DL20" s="4"/>
      <c r="DM20" s="4"/>
      <c r="DN20" s="4"/>
      <c r="DO20" s="4"/>
      <c r="DP20" s="4"/>
      <c r="DQ20" s="4"/>
      <c r="DR20" s="4"/>
      <c r="DS20" s="4"/>
      <c r="DT20" s="4"/>
      <c r="DU20" s="4"/>
      <c r="DV20" s="4"/>
      <c r="DW20" s="4"/>
      <c r="DX20" s="4"/>
      <c r="DY20" s="4"/>
      <c r="DZ20" s="4"/>
      <c r="EA20" s="4"/>
      <c r="EB20" s="4"/>
      <c r="EC20" s="4"/>
      <c r="ED20" s="4"/>
    </row>
    <row r="21" spans="1:134" s="1" customFormat="1" ht="30" customHeight="1" thickBot="1" x14ac:dyDescent="0.35">
      <c r="A21" s="6"/>
      <c r="B21" s="15" t="s">
        <v>53</v>
      </c>
      <c r="C21" s="13" t="s">
        <v>38</v>
      </c>
      <c r="D21" s="30">
        <v>0.5</v>
      </c>
      <c r="E21" s="49">
        <f>F20</f>
        <v>46316</v>
      </c>
      <c r="F21" s="49">
        <f>E21</f>
        <v>46316</v>
      </c>
      <c r="G21" s="29"/>
      <c r="H21" s="29">
        <f t="shared" si="71"/>
        <v>1</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c r="AP21" s="4"/>
      <c r="AQ21" s="4"/>
      <c r="AR21" s="4"/>
      <c r="AS21" s="4"/>
      <c r="AT21" s="4"/>
      <c r="AU21" s="4"/>
      <c r="AV21" s="4"/>
      <c r="AW21" s="4"/>
      <c r="AX21" s="4"/>
      <c r="AY21" s="4"/>
      <c r="AZ21" s="4"/>
      <c r="BA21" s="4"/>
      <c r="BB21" s="4"/>
      <c r="BC21" s="4"/>
      <c r="BD21" s="4"/>
      <c r="BE21" s="4"/>
      <c r="BF21" s="4"/>
      <c r="BG21" s="4"/>
      <c r="BH21" s="4"/>
      <c r="BI21" s="4"/>
      <c r="BJ21" s="4"/>
      <c r="BK21" s="4"/>
      <c r="BL21" s="4"/>
      <c r="BM21" s="4"/>
      <c r="BN21" s="4"/>
      <c r="BO21" s="4"/>
      <c r="BP21" s="4"/>
      <c r="BQ21" s="4"/>
      <c r="BR21" s="4"/>
      <c r="BS21" s="4"/>
      <c r="BT21" s="4"/>
      <c r="BU21" s="4"/>
      <c r="BV21" s="4"/>
      <c r="BW21" s="4"/>
      <c r="BX21" s="4"/>
      <c r="BY21" s="4"/>
      <c r="BZ21" s="4"/>
      <c r="CA21" s="4"/>
      <c r="CB21" s="4"/>
      <c r="CC21" s="4"/>
      <c r="CD21" s="4"/>
      <c r="CE21" s="4"/>
      <c r="CF21" s="4"/>
      <c r="CG21" s="4"/>
      <c r="CH21" s="4"/>
      <c r="CI21" s="4"/>
      <c r="CJ21" s="4"/>
      <c r="CK21" s="4"/>
      <c r="CL21" s="4"/>
      <c r="CM21" s="4"/>
      <c r="CN21" s="4"/>
      <c r="CO21" s="4"/>
      <c r="CP21" s="4"/>
      <c r="CQ21" s="4"/>
      <c r="CR21" s="4"/>
      <c r="CS21" s="4"/>
      <c r="CT21" s="4"/>
      <c r="CU21" s="4"/>
      <c r="CV21" s="4"/>
      <c r="CW21" s="4"/>
      <c r="CX21" s="4"/>
      <c r="CY21" s="4"/>
      <c r="CZ21" s="4"/>
      <c r="DA21" s="4"/>
      <c r="DB21" s="4"/>
      <c r="DC21" s="4"/>
      <c r="DD21" s="4"/>
      <c r="DE21" s="4"/>
      <c r="DF21" s="4"/>
      <c r="DG21" s="4"/>
      <c r="DH21" s="4"/>
      <c r="DI21" s="4"/>
      <c r="DJ21" s="4"/>
      <c r="DK21" s="4"/>
      <c r="DL21" s="4"/>
      <c r="DM21" s="4"/>
      <c r="DN21" s="4"/>
      <c r="DO21" s="4"/>
      <c r="DP21" s="4"/>
      <c r="DQ21" s="4"/>
      <c r="DR21" s="4"/>
      <c r="DS21" s="4"/>
      <c r="DT21" s="4"/>
      <c r="DU21" s="4"/>
      <c r="DV21" s="4"/>
      <c r="DW21" s="4"/>
      <c r="DX21" s="4"/>
      <c r="DY21" s="4"/>
      <c r="DZ21" s="4"/>
      <c r="EA21" s="4"/>
      <c r="EB21" s="4"/>
      <c r="EC21" s="4"/>
      <c r="ED21" s="4"/>
    </row>
    <row r="22" spans="1:134" s="1" customFormat="1" ht="30" customHeight="1" thickBot="1" x14ac:dyDescent="0.35">
      <c r="A22" s="6"/>
      <c r="B22" s="62" t="s">
        <v>54</v>
      </c>
      <c r="C22" s="13" t="s">
        <v>38</v>
      </c>
      <c r="D22" s="30">
        <v>0.8</v>
      </c>
      <c r="E22" s="49">
        <f>F20</f>
        <v>46316</v>
      </c>
      <c r="F22" s="49">
        <f>E22+1</f>
        <v>46317</v>
      </c>
      <c r="G22" s="29"/>
      <c r="H22" s="29">
        <f t="shared" si="71"/>
        <v>2</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c r="AL22" s="4"/>
      <c r="AM22" s="4"/>
      <c r="AN22" s="4"/>
      <c r="AO22" s="4"/>
      <c r="AP22" s="4"/>
      <c r="AQ22" s="4"/>
      <c r="AR22" s="4"/>
      <c r="AS22" s="4"/>
      <c r="AT22" s="4"/>
      <c r="AU22" s="4"/>
      <c r="AV22" s="4"/>
      <c r="AW22" s="4"/>
      <c r="AX22" s="4"/>
      <c r="AY22" s="4"/>
      <c r="AZ22" s="4"/>
      <c r="BA22" s="4"/>
      <c r="BB22" s="4"/>
      <c r="BC22" s="4"/>
      <c r="BD22" s="4"/>
      <c r="BE22" s="4"/>
      <c r="BF22" s="4"/>
      <c r="BG22" s="4"/>
      <c r="BH22" s="4"/>
      <c r="BI22" s="4"/>
      <c r="BJ22" s="4"/>
      <c r="BK22" s="4"/>
      <c r="BL22" s="4"/>
      <c r="BM22" s="4"/>
      <c r="BN22" s="4"/>
      <c r="BO22" s="4"/>
      <c r="BP22" s="4"/>
      <c r="BQ22" s="4"/>
      <c r="BR22" s="4"/>
      <c r="BS22" s="4"/>
      <c r="BT22" s="4"/>
      <c r="BU22" s="4"/>
      <c r="BV22" s="4"/>
      <c r="BW22" s="4"/>
      <c r="BX22" s="4"/>
      <c r="BY22" s="4"/>
      <c r="BZ22" s="4"/>
      <c r="CA22" s="4"/>
      <c r="CB22" s="4"/>
      <c r="CC22" s="4"/>
      <c r="CD22" s="4"/>
      <c r="CE22" s="4"/>
      <c r="CF22" s="4"/>
      <c r="CG22" s="4"/>
      <c r="CH22" s="4"/>
      <c r="CI22" s="4"/>
      <c r="CJ22" s="4"/>
      <c r="CK22" s="4"/>
      <c r="CL22" s="4"/>
      <c r="CM22" s="4"/>
      <c r="CN22" s="4"/>
      <c r="CO22" s="4"/>
      <c r="CP22" s="4"/>
      <c r="CQ22" s="4"/>
      <c r="CR22" s="4"/>
      <c r="CS22" s="4"/>
      <c r="CT22" s="4"/>
      <c r="CU22" s="4"/>
      <c r="CV22" s="4"/>
      <c r="CW22" s="4"/>
      <c r="CX22" s="4"/>
      <c r="CY22" s="4"/>
      <c r="CZ22" s="4"/>
      <c r="DA22" s="4"/>
      <c r="DB22" s="4"/>
      <c r="DC22" s="4"/>
      <c r="DD22" s="4"/>
      <c r="DE22" s="4"/>
      <c r="DF22" s="4"/>
      <c r="DG22" s="4"/>
      <c r="DH22" s="4"/>
      <c r="DI22" s="4"/>
      <c r="DJ22" s="4"/>
      <c r="DK22" s="4"/>
      <c r="DL22" s="4"/>
      <c r="DM22" s="4"/>
      <c r="DN22" s="4"/>
      <c r="DO22" s="4"/>
      <c r="DP22" s="4"/>
      <c r="DQ22" s="4"/>
      <c r="DR22" s="4"/>
      <c r="DS22" s="4"/>
      <c r="DT22" s="4"/>
      <c r="DU22" s="4"/>
      <c r="DV22" s="4"/>
      <c r="DW22" s="4"/>
      <c r="DX22" s="4"/>
      <c r="DY22" s="4"/>
      <c r="DZ22" s="4"/>
      <c r="EA22" s="4"/>
      <c r="EB22" s="4"/>
      <c r="EC22" s="4"/>
      <c r="ED22" s="4"/>
    </row>
    <row r="23" spans="1:134" s="1" customFormat="1" ht="30" customHeight="1" thickBot="1" x14ac:dyDescent="0.35">
      <c r="A23" s="6"/>
      <c r="B23" s="77" t="s">
        <v>245</v>
      </c>
      <c r="C23" s="13" t="s">
        <v>38</v>
      </c>
      <c r="D23" s="30">
        <v>0</v>
      </c>
      <c r="E23" s="49">
        <f>F21</f>
        <v>46316</v>
      </c>
      <c r="F23" s="49">
        <f>E23+1</f>
        <v>46317</v>
      </c>
      <c r="G23" s="29"/>
      <c r="H23" s="29">
        <f t="shared" si="71"/>
        <v>2</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s="4"/>
      <c r="AM23" s="4"/>
      <c r="AN23" s="4"/>
      <c r="AO23" s="4"/>
      <c r="AP23" s="4"/>
      <c r="AQ23" s="4"/>
      <c r="AR23" s="4"/>
      <c r="AS23" s="4"/>
      <c r="AT23" s="4"/>
      <c r="AU23" s="4"/>
      <c r="AV23" s="4"/>
      <c r="AW23" s="4"/>
      <c r="AX23" s="4"/>
      <c r="AY23" s="4"/>
      <c r="AZ23" s="4"/>
      <c r="BA23" s="4"/>
      <c r="BB23" s="4"/>
      <c r="BC23" s="4"/>
      <c r="BD23" s="4"/>
      <c r="BE23" s="4"/>
      <c r="BF23" s="4"/>
      <c r="BG23" s="4"/>
      <c r="BH23" s="4"/>
      <c r="BI23" s="4"/>
      <c r="BJ23" s="4"/>
      <c r="BK23" s="4"/>
      <c r="BL23" s="4"/>
      <c r="BM23" s="4"/>
      <c r="BN23" s="4"/>
      <c r="BO23" s="4"/>
      <c r="BP23" s="4"/>
      <c r="BQ23" s="4"/>
      <c r="BR23" s="4"/>
      <c r="BS23" s="4"/>
      <c r="BT23" s="4"/>
      <c r="BU23" s="4"/>
      <c r="BV23" s="4"/>
      <c r="BW23" s="4"/>
      <c r="BX23" s="4"/>
      <c r="BY23" s="4"/>
      <c r="BZ23" s="4"/>
      <c r="CA23" s="4"/>
      <c r="CB23" s="4"/>
      <c r="CC23" s="4"/>
      <c r="CD23" s="4"/>
      <c r="CE23" s="4"/>
      <c r="CF23" s="4"/>
      <c r="CG23" s="4"/>
      <c r="CH23" s="4"/>
      <c r="CI23" s="4"/>
      <c r="CJ23" s="4"/>
      <c r="CK23" s="4"/>
      <c r="CL23" s="4"/>
      <c r="CM23" s="4"/>
      <c r="CN23" s="4"/>
      <c r="CO23" s="4"/>
      <c r="CP23" s="4"/>
      <c r="CQ23" s="4"/>
      <c r="CR23" s="4"/>
      <c r="CS23" s="4"/>
      <c r="CT23" s="4"/>
      <c r="CU23" s="4"/>
      <c r="CV23" s="4"/>
      <c r="CW23" s="4"/>
      <c r="CX23" s="4"/>
      <c r="CY23" s="4"/>
      <c r="CZ23" s="4"/>
      <c r="DA23" s="4"/>
      <c r="DB23" s="4"/>
      <c r="DC23" s="4"/>
      <c r="DD23" s="4"/>
      <c r="DE23" s="4"/>
      <c r="DF23" s="4"/>
      <c r="DG23" s="4"/>
      <c r="DH23" s="4"/>
      <c r="DI23" s="4"/>
      <c r="DJ23" s="4"/>
      <c r="DK23" s="4"/>
      <c r="DL23" s="4"/>
      <c r="DM23" s="4"/>
      <c r="DN23" s="4"/>
      <c r="DO23" s="4"/>
      <c r="DP23" s="4"/>
      <c r="DQ23" s="4"/>
      <c r="DR23" s="4"/>
      <c r="DS23" s="4"/>
      <c r="DT23" s="4"/>
      <c r="DU23" s="4"/>
      <c r="DV23" s="4"/>
      <c r="DW23" s="4"/>
      <c r="DX23" s="4"/>
      <c r="DY23" s="4"/>
      <c r="DZ23" s="4"/>
      <c r="EA23" s="4"/>
      <c r="EB23" s="4"/>
      <c r="EC23" s="4"/>
      <c r="ED23" s="4"/>
    </row>
    <row r="24" spans="1:134" s="1" customFormat="1" ht="30" customHeight="1" thickBot="1" x14ac:dyDescent="0.35">
      <c r="A24" s="6"/>
      <c r="B24" s="15" t="s">
        <v>55</v>
      </c>
      <c r="C24" s="13" t="s">
        <v>38</v>
      </c>
      <c r="D24" s="30">
        <v>0</v>
      </c>
      <c r="E24" s="49">
        <f>E23</f>
        <v>46316</v>
      </c>
      <c r="F24" s="49">
        <f>E24+1</f>
        <v>46317</v>
      </c>
      <c r="G24" s="29"/>
      <c r="H24" s="29">
        <f t="shared" si="71"/>
        <v>2</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c r="AP24" s="4"/>
      <c r="AQ24" s="4"/>
      <c r="AR24" s="4"/>
      <c r="AS24" s="4"/>
      <c r="AT24" s="4"/>
      <c r="AU24" s="4"/>
      <c r="AV24" s="4"/>
      <c r="AW24" s="4"/>
      <c r="AX24" s="4"/>
      <c r="AY24" s="4"/>
      <c r="AZ24" s="4"/>
      <c r="BA24" s="4"/>
      <c r="BB24" s="4"/>
      <c r="BC24" s="4"/>
      <c r="BD24" s="4"/>
      <c r="BE24" s="4"/>
      <c r="BF24" s="4"/>
      <c r="BG24" s="4"/>
      <c r="BH24" s="4"/>
      <c r="BI24" s="4"/>
      <c r="BJ24" s="4"/>
      <c r="BK24" s="4"/>
      <c r="BL24" s="4"/>
      <c r="BM24" s="4"/>
      <c r="BN24" s="4"/>
      <c r="BO24" s="4"/>
      <c r="BP24" s="4"/>
      <c r="BQ24" s="4"/>
      <c r="BR24" s="4"/>
      <c r="BS24" s="4"/>
      <c r="BT24" s="4"/>
      <c r="BU24" s="4"/>
      <c r="BV24" s="4"/>
      <c r="BW24" s="4"/>
      <c r="BX24" s="4"/>
      <c r="BY24" s="4"/>
      <c r="BZ24" s="4"/>
      <c r="CA24" s="4"/>
      <c r="CB24" s="4"/>
      <c r="CC24" s="4"/>
      <c r="CD24" s="4"/>
      <c r="CE24" s="4"/>
      <c r="CF24" s="4"/>
      <c r="CG24" s="4"/>
      <c r="CH24" s="4"/>
      <c r="CI24" s="4"/>
      <c r="CJ24" s="4"/>
      <c r="CK24" s="4"/>
      <c r="CL24" s="4"/>
      <c r="CM24" s="4"/>
      <c r="CN24" s="4"/>
      <c r="CO24" s="4"/>
      <c r="CP24" s="4"/>
      <c r="CQ24" s="4"/>
      <c r="CR24" s="4"/>
      <c r="CS24" s="4"/>
      <c r="CT24" s="4"/>
      <c r="CU24" s="4"/>
      <c r="CV24" s="4"/>
      <c r="CW24" s="4"/>
      <c r="CX24" s="4"/>
      <c r="CY24" s="4"/>
      <c r="CZ24" s="4"/>
      <c r="DA24" s="4"/>
      <c r="DB24" s="4"/>
      <c r="DC24" s="4"/>
      <c r="DD24" s="4"/>
      <c r="DE24" s="4"/>
      <c r="DF24" s="4"/>
      <c r="DG24" s="4"/>
      <c r="DH24" s="4"/>
      <c r="DI24" s="4"/>
      <c r="DJ24" s="4"/>
      <c r="DK24" s="4"/>
      <c r="DL24" s="4"/>
      <c r="DM24" s="4"/>
      <c r="DN24" s="4"/>
      <c r="DO24" s="4"/>
      <c r="DP24" s="4"/>
      <c r="DQ24" s="4"/>
      <c r="DR24" s="4"/>
      <c r="DS24" s="4"/>
      <c r="DT24" s="4"/>
      <c r="DU24" s="4"/>
      <c r="DV24" s="4"/>
      <c r="DW24" s="4"/>
      <c r="DX24" s="4"/>
      <c r="DY24" s="4"/>
      <c r="DZ24" s="4"/>
      <c r="EA24" s="4"/>
      <c r="EB24" s="4"/>
      <c r="EC24" s="4"/>
      <c r="ED24" s="4"/>
    </row>
    <row r="25" spans="1:134" s="1" customFormat="1" ht="30" customHeight="1" thickBot="1" x14ac:dyDescent="0.35">
      <c r="A25" s="6" t="s">
        <v>12</v>
      </c>
      <c r="B25" s="27" t="s">
        <v>56</v>
      </c>
      <c r="C25" s="12" t="s">
        <v>38</v>
      </c>
      <c r="D25" s="28"/>
      <c r="E25" s="47"/>
      <c r="F25" s="48"/>
      <c r="G25" s="29"/>
      <c r="H25" s="29" t="str">
        <f t="shared" ref="H25:H56" si="72">IF(OR(ISBLANK(タスク_開始),ISBLANK(タスク_終了)),"",タスク_終了-タスク_開始+1)</f>
        <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c r="AP25" s="4"/>
      <c r="AQ25" s="4"/>
      <c r="AR25" s="4"/>
      <c r="AS25" s="4"/>
      <c r="AT25" s="4"/>
      <c r="AU25" s="4"/>
      <c r="AV25" s="4"/>
      <c r="AW25" s="4"/>
      <c r="AX25" s="4"/>
      <c r="AY25" s="4"/>
      <c r="AZ25" s="4"/>
      <c r="BA25" s="4"/>
      <c r="BB25" s="4"/>
      <c r="BC25" s="4"/>
      <c r="BD25" s="4"/>
      <c r="BE25" s="4"/>
      <c r="BF25" s="4"/>
      <c r="BG25" s="4"/>
      <c r="BH25" s="4"/>
      <c r="BI25" s="4"/>
      <c r="BJ25" s="4"/>
      <c r="BK25" s="4"/>
      <c r="BL25" s="4"/>
      <c r="BM25" s="4"/>
      <c r="BN25" s="4"/>
      <c r="BO25" s="4"/>
      <c r="BP25" s="4"/>
      <c r="BQ25" s="4"/>
      <c r="BR25" s="4"/>
      <c r="BS25" s="4"/>
      <c r="BT25" s="4"/>
      <c r="BU25" s="4"/>
      <c r="BV25" s="4"/>
      <c r="BW25" s="4"/>
      <c r="BX25" s="4"/>
      <c r="BY25" s="4"/>
      <c r="BZ25" s="4"/>
      <c r="CA25" s="4"/>
      <c r="CB25" s="4"/>
      <c r="CC25" s="4"/>
      <c r="CD25" s="4"/>
      <c r="CE25" s="4"/>
      <c r="CF25" s="4"/>
      <c r="CG25" s="4"/>
      <c r="CH25" s="4"/>
      <c r="CI25" s="4"/>
      <c r="CJ25" s="4"/>
      <c r="CK25" s="4"/>
      <c r="CL25" s="4"/>
      <c r="CM25" s="4"/>
      <c r="CN25" s="4"/>
      <c r="CO25" s="4"/>
      <c r="CP25" s="4"/>
      <c r="CQ25" s="4"/>
      <c r="CR25" s="4"/>
      <c r="CS25" s="4"/>
      <c r="CT25" s="4"/>
      <c r="CU25" s="4"/>
      <c r="CV25" s="4"/>
      <c r="CW25" s="4"/>
      <c r="CX25" s="4"/>
      <c r="CY25" s="4"/>
      <c r="CZ25" s="4"/>
      <c r="DA25" s="4"/>
      <c r="DB25" s="4"/>
      <c r="DC25" s="4"/>
      <c r="DD25" s="4"/>
      <c r="DE25" s="4"/>
      <c r="DF25" s="4"/>
      <c r="DG25" s="4"/>
      <c r="DH25" s="4"/>
      <c r="DI25" s="4"/>
      <c r="DJ25" s="4"/>
      <c r="DK25" s="4"/>
      <c r="DL25" s="4"/>
      <c r="DM25" s="4"/>
      <c r="DN25" s="4"/>
      <c r="DO25" s="4"/>
      <c r="DP25" s="4"/>
      <c r="DQ25" s="4"/>
      <c r="DR25" s="4"/>
      <c r="DS25" s="4"/>
      <c r="DT25" s="4"/>
      <c r="DU25" s="4"/>
      <c r="DV25" s="4"/>
      <c r="DW25" s="4"/>
      <c r="DX25" s="4"/>
      <c r="DY25" s="4"/>
      <c r="DZ25" s="4"/>
      <c r="EA25" s="4"/>
      <c r="EB25" s="4"/>
      <c r="EC25" s="4"/>
      <c r="ED25" s="4"/>
    </row>
    <row r="26" spans="1:134" ht="30" customHeight="1" thickBot="1" x14ac:dyDescent="0.35">
      <c r="B26" s="15" t="s">
        <v>57</v>
      </c>
      <c r="C26" s="13" t="s">
        <v>38</v>
      </c>
      <c r="D26" s="30">
        <v>0</v>
      </c>
      <c r="E26" s="49">
        <f>F24</f>
        <v>46317</v>
      </c>
      <c r="F26" s="49">
        <f>E26+4</f>
        <v>46321</v>
      </c>
      <c r="G26" s="29"/>
      <c r="H26" s="29">
        <f t="shared" si="72"/>
        <v>5</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c r="AP26" s="4"/>
      <c r="AQ26" s="4"/>
      <c r="AR26" s="4"/>
      <c r="AS26" s="4"/>
      <c r="AT26" s="4"/>
      <c r="AU26" s="4"/>
      <c r="AV26" s="4"/>
      <c r="AW26" s="4"/>
      <c r="AX26" s="4"/>
      <c r="AY26" s="4"/>
      <c r="AZ26" s="4"/>
      <c r="BA26" s="4"/>
      <c r="BB26" s="4"/>
      <c r="BC26" s="4"/>
      <c r="BD26" s="4"/>
      <c r="BE26" s="4"/>
      <c r="BF26" s="4"/>
      <c r="BG26" s="4"/>
      <c r="BH26" s="4"/>
      <c r="BI26" s="4"/>
      <c r="BJ26" s="4"/>
      <c r="BK26" s="4"/>
      <c r="BL26" s="4"/>
      <c r="BM26" s="4"/>
      <c r="BN26" s="4"/>
      <c r="BO26" s="4"/>
      <c r="BP26" s="4"/>
      <c r="BQ26" s="4"/>
      <c r="BR26" s="4"/>
      <c r="BS26" s="4"/>
      <c r="BT26" s="4"/>
      <c r="BU26" s="4"/>
      <c r="BV26" s="4"/>
      <c r="BW26" s="4"/>
      <c r="BX26" s="4"/>
      <c r="BY26" s="4"/>
      <c r="BZ26" s="4"/>
      <c r="CA26" s="4"/>
      <c r="CB26" s="4"/>
      <c r="CC26" s="4"/>
      <c r="CD26" s="4"/>
      <c r="CE26" s="4"/>
      <c r="CF26" s="4"/>
      <c r="CG26" s="4"/>
      <c r="CH26" s="4"/>
      <c r="CI26" s="4"/>
      <c r="CJ26" s="4"/>
      <c r="CK26" s="4"/>
      <c r="CL26" s="4"/>
      <c r="CM26" s="4"/>
      <c r="CN26" s="4"/>
      <c r="CO26" s="4"/>
      <c r="CP26" s="4"/>
      <c r="CQ26" s="4"/>
      <c r="CR26" s="4"/>
      <c r="CS26" s="4"/>
      <c r="CT26" s="4"/>
      <c r="CU26" s="4"/>
      <c r="CV26" s="4"/>
      <c r="CW26" s="4"/>
      <c r="CX26" s="4"/>
      <c r="CY26" s="4"/>
      <c r="CZ26" s="4"/>
      <c r="DA26" s="4"/>
      <c r="DB26" s="4"/>
      <c r="DC26" s="4"/>
      <c r="DD26" s="4"/>
      <c r="DE26" s="4"/>
      <c r="DF26" s="4"/>
      <c r="DG26" s="4"/>
      <c r="DH26" s="4"/>
      <c r="DI26" s="4"/>
      <c r="DJ26" s="4"/>
      <c r="DK26" s="4"/>
      <c r="DL26" s="4"/>
      <c r="DM26" s="4"/>
      <c r="DN26" s="4"/>
      <c r="DO26" s="4"/>
      <c r="DP26" s="4"/>
      <c r="DQ26" s="4"/>
      <c r="DR26" s="4"/>
      <c r="DS26" s="4"/>
      <c r="DT26" s="4"/>
      <c r="DU26" s="4"/>
      <c r="DV26" s="4"/>
      <c r="DW26" s="4"/>
      <c r="DX26" s="4"/>
      <c r="DY26" s="4"/>
      <c r="DZ26" s="4"/>
      <c r="EA26" s="4"/>
      <c r="EB26" s="4"/>
      <c r="EC26" s="4"/>
      <c r="ED26" s="4"/>
    </row>
    <row r="27" spans="1:134" ht="30" customHeight="1" thickBot="1" x14ac:dyDescent="0.35">
      <c r="B27" s="57" t="s">
        <v>59</v>
      </c>
      <c r="C27" s="54" t="s">
        <v>38</v>
      </c>
      <c r="D27" s="55"/>
      <c r="E27" s="56"/>
      <c r="F27" s="56"/>
      <c r="G27" s="29"/>
      <c r="H27" s="29" t="str">
        <f t="shared" si="72"/>
        <v/>
      </c>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c r="AL27" s="4"/>
      <c r="AM27" s="4"/>
      <c r="AN27" s="4"/>
      <c r="AO27" s="4"/>
      <c r="AP27" s="4"/>
      <c r="AQ27" s="4"/>
      <c r="AR27" s="4"/>
      <c r="AS27" s="4"/>
      <c r="AT27" s="4"/>
      <c r="AU27" s="4"/>
      <c r="AV27" s="4"/>
      <c r="AW27" s="4"/>
      <c r="AX27" s="4"/>
      <c r="AY27" s="4"/>
      <c r="AZ27" s="4"/>
      <c r="BA27" s="4"/>
      <c r="BB27" s="4"/>
      <c r="BC27" s="4"/>
      <c r="BD27" s="4"/>
      <c r="BE27" s="4"/>
      <c r="BF27" s="4"/>
      <c r="BG27" s="4"/>
      <c r="BH27" s="4"/>
      <c r="BI27" s="4"/>
      <c r="BJ27" s="4"/>
      <c r="BK27" s="4"/>
      <c r="BL27" s="4"/>
      <c r="BM27" s="4"/>
      <c r="BN27" s="4"/>
      <c r="BO27" s="4"/>
      <c r="BP27" s="4"/>
      <c r="BQ27" s="4"/>
      <c r="BR27" s="4"/>
      <c r="BS27" s="4"/>
      <c r="BT27" s="4"/>
      <c r="BU27" s="4"/>
      <c r="BV27" s="4"/>
      <c r="BW27" s="4"/>
      <c r="BX27" s="4"/>
      <c r="BY27" s="4"/>
      <c r="BZ27" s="4"/>
      <c r="CA27" s="4"/>
      <c r="CB27" s="4"/>
      <c r="CC27" s="4"/>
      <c r="CD27" s="4"/>
      <c r="CE27" s="4"/>
      <c r="CF27" s="4"/>
      <c r="CG27" s="4"/>
      <c r="CH27" s="4"/>
      <c r="CI27" s="4"/>
      <c r="CJ27" s="4"/>
      <c r="CK27" s="4"/>
      <c r="CL27" s="4"/>
      <c r="CM27" s="4"/>
      <c r="CN27" s="4"/>
      <c r="CO27" s="4"/>
      <c r="CP27" s="4"/>
      <c r="CQ27" s="4"/>
      <c r="CR27" s="4"/>
      <c r="CS27" s="4"/>
      <c r="CT27" s="4"/>
      <c r="CU27" s="4"/>
      <c r="CV27" s="4"/>
      <c r="CW27" s="4"/>
      <c r="CX27" s="4"/>
      <c r="CY27" s="4"/>
      <c r="CZ27" s="4"/>
      <c r="DA27" s="4"/>
      <c r="DB27" s="4"/>
      <c r="DC27" s="4"/>
      <c r="DD27" s="4"/>
      <c r="DE27" s="4"/>
      <c r="DF27" s="4"/>
      <c r="DG27" s="4"/>
      <c r="DH27" s="4"/>
      <c r="DI27" s="4"/>
      <c r="DJ27" s="4"/>
      <c r="DK27" s="4"/>
      <c r="DL27" s="4"/>
      <c r="DM27" s="4"/>
      <c r="DN27" s="4"/>
      <c r="DO27" s="4"/>
      <c r="DP27" s="4"/>
      <c r="DQ27" s="4"/>
      <c r="DR27" s="4"/>
      <c r="DS27" s="4"/>
      <c r="DT27" s="4"/>
      <c r="DU27" s="4"/>
      <c r="DV27" s="4"/>
      <c r="DW27" s="4"/>
      <c r="DX27" s="4"/>
      <c r="DY27" s="4"/>
      <c r="DZ27" s="4"/>
      <c r="EA27" s="4"/>
      <c r="EB27" s="4"/>
      <c r="EC27" s="4"/>
      <c r="ED27" s="4"/>
    </row>
    <row r="28" spans="1:134" ht="30" customHeight="1" thickBot="1" x14ac:dyDescent="0.35">
      <c r="B28" s="27" t="s">
        <v>69</v>
      </c>
      <c r="C28" s="12" t="s">
        <v>38</v>
      </c>
      <c r="D28" s="28"/>
      <c r="E28" s="47"/>
      <c r="F28" s="48"/>
      <c r="G28" s="29"/>
      <c r="H28" s="29" t="str">
        <f t="shared" si="72"/>
        <v/>
      </c>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c r="AL28" s="4"/>
      <c r="AM28" s="4"/>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c r="CY28" s="4"/>
      <c r="CZ28" s="4"/>
      <c r="DA28" s="4"/>
      <c r="DB28" s="4"/>
      <c r="DC28" s="4"/>
      <c r="DD28" s="4"/>
      <c r="DE28" s="4"/>
      <c r="DF28" s="4"/>
      <c r="DG28" s="4"/>
      <c r="DH28" s="4"/>
      <c r="DI28" s="4"/>
      <c r="DJ28" s="4"/>
      <c r="DK28" s="4"/>
      <c r="DL28" s="4"/>
      <c r="DM28" s="4"/>
      <c r="DN28" s="4"/>
      <c r="DO28" s="4"/>
      <c r="DP28" s="4"/>
      <c r="DQ28" s="4"/>
      <c r="DR28" s="4"/>
      <c r="DS28" s="4"/>
      <c r="DT28" s="4"/>
      <c r="DU28" s="4"/>
      <c r="DV28" s="4"/>
      <c r="DW28" s="4"/>
      <c r="DX28" s="4"/>
      <c r="DY28" s="4"/>
      <c r="DZ28" s="4"/>
      <c r="EA28" s="4"/>
      <c r="EB28" s="4"/>
      <c r="EC28" s="4"/>
      <c r="ED28" s="4"/>
    </row>
    <row r="29" spans="1:134" ht="30" customHeight="1" thickBot="1" x14ac:dyDescent="0.35">
      <c r="B29" s="62" t="s">
        <v>60</v>
      </c>
      <c r="C29" s="13" t="s">
        <v>38</v>
      </c>
      <c r="D29" s="30">
        <v>0</v>
      </c>
      <c r="E29" s="49">
        <f>F26</f>
        <v>46321</v>
      </c>
      <c r="F29" s="49">
        <f>E29</f>
        <v>46321</v>
      </c>
      <c r="G29" s="29"/>
      <c r="H29" s="29">
        <f t="shared" si="72"/>
        <v>1</v>
      </c>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c r="CY29" s="4"/>
      <c r="CZ29" s="4"/>
      <c r="DA29" s="4"/>
      <c r="DB29" s="4"/>
      <c r="DC29" s="4"/>
      <c r="DD29" s="4"/>
      <c r="DE29" s="4"/>
      <c r="DF29" s="4"/>
      <c r="DG29" s="4"/>
      <c r="DH29" s="4"/>
      <c r="DI29" s="4"/>
      <c r="DJ29" s="4"/>
      <c r="DK29" s="4"/>
      <c r="DL29" s="4"/>
      <c r="DM29" s="4"/>
      <c r="DN29" s="4"/>
      <c r="DO29" s="4"/>
      <c r="DP29" s="4"/>
      <c r="DQ29" s="4"/>
      <c r="DR29" s="4"/>
      <c r="DS29" s="4"/>
      <c r="DT29" s="4"/>
      <c r="DU29" s="4"/>
      <c r="DV29" s="4"/>
      <c r="DW29" s="4"/>
      <c r="DX29" s="4"/>
      <c r="DY29" s="4"/>
      <c r="DZ29" s="4"/>
      <c r="EA29" s="4"/>
      <c r="EB29" s="4"/>
      <c r="EC29" s="4"/>
      <c r="ED29" s="4"/>
    </row>
    <row r="30" spans="1:134" ht="30" customHeight="1" thickBot="1" x14ac:dyDescent="0.35">
      <c r="B30" s="15" t="s">
        <v>43</v>
      </c>
      <c r="C30" s="13" t="s">
        <v>38</v>
      </c>
      <c r="D30" s="30">
        <v>0</v>
      </c>
      <c r="E30" s="49">
        <f>F29</f>
        <v>46321</v>
      </c>
      <c r="F30" s="49">
        <f>E30+1</f>
        <v>46322</v>
      </c>
      <c r="G30" s="29"/>
      <c r="H30" s="29">
        <f t="shared" si="72"/>
        <v>2</v>
      </c>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c r="CY30" s="4"/>
      <c r="CZ30" s="4"/>
      <c r="DA30" s="4"/>
      <c r="DB30" s="4"/>
      <c r="DC30" s="4"/>
      <c r="DD30" s="4"/>
      <c r="DE30" s="4"/>
      <c r="DF30" s="4"/>
      <c r="DG30" s="4"/>
      <c r="DH30" s="4"/>
      <c r="DI30" s="4"/>
      <c r="DJ30" s="4"/>
      <c r="DK30" s="4"/>
      <c r="DL30" s="4"/>
      <c r="DM30" s="4"/>
      <c r="DN30" s="4"/>
      <c r="DO30" s="4"/>
      <c r="DP30" s="4"/>
      <c r="DQ30" s="4"/>
      <c r="DR30" s="4"/>
      <c r="DS30" s="4"/>
      <c r="DT30" s="4"/>
      <c r="DU30" s="4"/>
      <c r="DV30" s="4"/>
      <c r="DW30" s="4"/>
      <c r="DX30" s="4"/>
      <c r="DY30" s="4"/>
      <c r="DZ30" s="4"/>
      <c r="EA30" s="4"/>
      <c r="EB30" s="4"/>
      <c r="EC30" s="4"/>
      <c r="ED30" s="4"/>
    </row>
    <row r="31" spans="1:134" ht="30" customHeight="1" thickBot="1" x14ac:dyDescent="0.35">
      <c r="B31" s="62" t="s">
        <v>61</v>
      </c>
      <c r="C31" s="13" t="s">
        <v>38</v>
      </c>
      <c r="D31" s="30">
        <v>0</v>
      </c>
      <c r="E31" s="49">
        <f>E30</f>
        <v>46321</v>
      </c>
      <c r="F31" s="49">
        <f>E31+1</f>
        <v>46322</v>
      </c>
      <c r="G31" s="29"/>
      <c r="H31" s="29">
        <f t="shared" si="72"/>
        <v>2</v>
      </c>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c r="AL31" s="4"/>
      <c r="AM31" s="4"/>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c r="CY31" s="4"/>
      <c r="CZ31" s="4"/>
      <c r="DA31" s="4"/>
      <c r="DB31" s="4"/>
      <c r="DC31" s="4"/>
      <c r="DD31" s="4"/>
      <c r="DE31" s="4"/>
      <c r="DF31" s="4"/>
      <c r="DG31" s="4"/>
      <c r="DH31" s="4"/>
      <c r="DI31" s="4"/>
      <c r="DJ31" s="4"/>
      <c r="DK31" s="4"/>
      <c r="DL31" s="4"/>
      <c r="DM31" s="4"/>
      <c r="DN31" s="4"/>
      <c r="DO31" s="4"/>
      <c r="DP31" s="4"/>
      <c r="DQ31" s="4"/>
      <c r="DR31" s="4"/>
      <c r="DS31" s="4"/>
      <c r="DT31" s="4"/>
      <c r="DU31" s="4"/>
      <c r="DV31" s="4"/>
      <c r="DW31" s="4"/>
      <c r="DX31" s="4"/>
      <c r="DY31" s="4"/>
      <c r="DZ31" s="4"/>
      <c r="EA31" s="4"/>
      <c r="EB31" s="4"/>
      <c r="EC31" s="4"/>
      <c r="ED31" s="4"/>
    </row>
    <row r="32" spans="1:134" ht="30" customHeight="1" thickBot="1" x14ac:dyDescent="0.35">
      <c r="B32" s="62" t="s">
        <v>62</v>
      </c>
      <c r="C32" s="13" t="s">
        <v>38</v>
      </c>
      <c r="D32" s="30">
        <v>0</v>
      </c>
      <c r="E32" s="49">
        <f>F31</f>
        <v>46322</v>
      </c>
      <c r="F32" s="49">
        <f>E32+2</f>
        <v>46324</v>
      </c>
      <c r="G32" s="29"/>
      <c r="H32" s="29">
        <f t="shared" si="72"/>
        <v>3</v>
      </c>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s="4"/>
      <c r="AM32" s="4"/>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c r="CY32" s="4"/>
      <c r="CZ32" s="4"/>
      <c r="DA32" s="4"/>
      <c r="DB32" s="4"/>
      <c r="DC32" s="4"/>
      <c r="DD32" s="4"/>
      <c r="DE32" s="4"/>
      <c r="DF32" s="4"/>
      <c r="DG32" s="4"/>
      <c r="DH32" s="4"/>
      <c r="DI32" s="4"/>
      <c r="DJ32" s="4"/>
      <c r="DK32" s="4"/>
      <c r="DL32" s="4"/>
      <c r="DM32" s="4"/>
      <c r="DN32" s="4"/>
      <c r="DO32" s="4"/>
      <c r="DP32" s="4"/>
      <c r="DQ32" s="4"/>
      <c r="DR32" s="4"/>
      <c r="DS32" s="4"/>
      <c r="DT32" s="4"/>
      <c r="DU32" s="4"/>
      <c r="DV32" s="4"/>
      <c r="DW32" s="4"/>
      <c r="DX32" s="4"/>
      <c r="DY32" s="4"/>
      <c r="DZ32" s="4"/>
      <c r="EA32" s="4"/>
      <c r="EB32" s="4"/>
      <c r="EC32" s="4"/>
      <c r="ED32" s="4"/>
    </row>
    <row r="33" spans="2:134" ht="30" customHeight="1" thickBot="1" x14ac:dyDescent="0.35">
      <c r="B33" s="62" t="s">
        <v>63</v>
      </c>
      <c r="C33" s="13" t="s">
        <v>38</v>
      </c>
      <c r="D33" s="30">
        <v>0</v>
      </c>
      <c r="E33" s="49">
        <f>E32</f>
        <v>46322</v>
      </c>
      <c r="F33" s="49">
        <f>E33+2</f>
        <v>46324</v>
      </c>
      <c r="G33" s="29"/>
      <c r="H33" s="29">
        <f t="shared" si="72"/>
        <v>3</v>
      </c>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c r="CY33" s="4"/>
      <c r="CZ33" s="4"/>
      <c r="DA33" s="4"/>
      <c r="DB33" s="4"/>
      <c r="DC33" s="4"/>
      <c r="DD33" s="4"/>
      <c r="DE33" s="4"/>
      <c r="DF33" s="4"/>
      <c r="DG33" s="4"/>
      <c r="DH33" s="4"/>
      <c r="DI33" s="4"/>
      <c r="DJ33" s="4"/>
      <c r="DK33" s="4"/>
      <c r="DL33" s="4"/>
      <c r="DM33" s="4"/>
      <c r="DN33" s="4"/>
      <c r="DO33" s="4"/>
      <c r="DP33" s="4"/>
      <c r="DQ33" s="4"/>
      <c r="DR33" s="4"/>
      <c r="DS33" s="4"/>
      <c r="DT33" s="4"/>
      <c r="DU33" s="4"/>
      <c r="DV33" s="4"/>
      <c r="DW33" s="4"/>
      <c r="DX33" s="4"/>
      <c r="DY33" s="4"/>
      <c r="DZ33" s="4"/>
      <c r="EA33" s="4"/>
      <c r="EB33" s="4"/>
      <c r="EC33" s="4"/>
      <c r="ED33" s="4"/>
    </row>
    <row r="34" spans="2:134" ht="30" customHeight="1" thickBot="1" x14ac:dyDescent="0.35">
      <c r="B34" s="57" t="s">
        <v>64</v>
      </c>
      <c r="C34" s="54" t="s">
        <v>38</v>
      </c>
      <c r="D34" s="55"/>
      <c r="E34" s="56"/>
      <c r="F34" s="56"/>
      <c r="G34" s="29"/>
      <c r="H34" s="29" t="str">
        <f t="shared" si="72"/>
        <v/>
      </c>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c r="CY34" s="4"/>
      <c r="CZ34" s="4"/>
      <c r="DA34" s="4"/>
      <c r="DB34" s="4"/>
      <c r="DC34" s="4"/>
      <c r="DD34" s="4"/>
      <c r="DE34" s="4"/>
      <c r="DF34" s="4"/>
      <c r="DG34" s="4"/>
      <c r="DH34" s="4"/>
      <c r="DI34" s="4"/>
      <c r="DJ34" s="4"/>
      <c r="DK34" s="4"/>
      <c r="DL34" s="4"/>
      <c r="DM34" s="4"/>
      <c r="DN34" s="4"/>
      <c r="DO34" s="4"/>
      <c r="DP34" s="4"/>
      <c r="DQ34" s="4"/>
      <c r="DR34" s="4"/>
      <c r="DS34" s="4"/>
      <c r="DT34" s="4"/>
      <c r="DU34" s="4"/>
      <c r="DV34" s="4"/>
      <c r="DW34" s="4"/>
      <c r="DX34" s="4"/>
      <c r="DY34" s="4"/>
      <c r="DZ34" s="4"/>
      <c r="EA34" s="4"/>
      <c r="EB34" s="4"/>
      <c r="EC34" s="4"/>
      <c r="ED34" s="4"/>
    </row>
    <row r="35" spans="2:134" ht="30" customHeight="1" thickBot="1" x14ac:dyDescent="0.35">
      <c r="B35" s="27" t="s">
        <v>72</v>
      </c>
      <c r="C35" s="12" t="s">
        <v>38</v>
      </c>
      <c r="D35" s="28"/>
      <c r="E35" s="47"/>
      <c r="F35" s="48"/>
      <c r="G35" s="29"/>
      <c r="H35" s="29" t="str">
        <f t="shared" si="72"/>
        <v/>
      </c>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c r="CY35" s="4"/>
      <c r="CZ35" s="4"/>
      <c r="DA35" s="4"/>
      <c r="DB35" s="4"/>
      <c r="DC35" s="4"/>
      <c r="DD35" s="4"/>
      <c r="DE35" s="4"/>
      <c r="DF35" s="4"/>
      <c r="DG35" s="4"/>
      <c r="DH35" s="4"/>
      <c r="DI35" s="4"/>
      <c r="DJ35" s="4"/>
      <c r="DK35" s="4"/>
      <c r="DL35" s="4"/>
      <c r="DM35" s="4"/>
      <c r="DN35" s="4"/>
      <c r="DO35" s="4"/>
      <c r="DP35" s="4"/>
      <c r="DQ35" s="4"/>
      <c r="DR35" s="4"/>
      <c r="DS35" s="4"/>
      <c r="DT35" s="4"/>
      <c r="DU35" s="4"/>
      <c r="DV35" s="4"/>
      <c r="DW35" s="4"/>
      <c r="DX35" s="4"/>
      <c r="DY35" s="4"/>
      <c r="DZ35" s="4"/>
      <c r="EA35" s="4"/>
      <c r="EB35" s="4"/>
      <c r="EC35" s="4"/>
      <c r="ED35" s="4"/>
    </row>
    <row r="36" spans="2:134" ht="30" customHeight="1" thickBot="1" x14ac:dyDescent="0.35">
      <c r="B36" s="62" t="s">
        <v>67</v>
      </c>
      <c r="C36" s="13" t="s">
        <v>38</v>
      </c>
      <c r="D36" s="30">
        <v>0</v>
      </c>
      <c r="E36" s="49">
        <f>F33</f>
        <v>46324</v>
      </c>
      <c r="F36" s="49">
        <f>E36</f>
        <v>46324</v>
      </c>
      <c r="G36" s="29"/>
      <c r="H36" s="29">
        <f t="shared" si="72"/>
        <v>1</v>
      </c>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c r="AL36" s="4"/>
      <c r="AM36" s="4"/>
      <c r="AN36" s="4"/>
      <c r="AO36" s="4"/>
      <c r="AP36" s="4"/>
      <c r="AQ36" s="4"/>
      <c r="AR36" s="4"/>
      <c r="AS36" s="4"/>
      <c r="AT36" s="4"/>
      <c r="AU36" s="4"/>
      <c r="AV36" s="4"/>
      <c r="AW36" s="4"/>
      <c r="AX36" s="4"/>
      <c r="AY36" s="4"/>
      <c r="AZ36" s="4"/>
      <c r="BA36" s="4"/>
      <c r="BB36" s="4"/>
      <c r="BC36" s="4"/>
      <c r="BD36" s="4"/>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c r="CY36" s="4"/>
      <c r="CZ36" s="4"/>
      <c r="DA36" s="4"/>
      <c r="DB36" s="4"/>
      <c r="DC36" s="4"/>
      <c r="DD36" s="4"/>
      <c r="DE36" s="4"/>
      <c r="DF36" s="4"/>
      <c r="DG36" s="4"/>
      <c r="DH36" s="4"/>
      <c r="DI36" s="4"/>
      <c r="DJ36" s="4"/>
      <c r="DK36" s="4"/>
      <c r="DL36" s="4"/>
      <c r="DM36" s="4"/>
      <c r="DN36" s="4"/>
      <c r="DO36" s="4"/>
      <c r="DP36" s="4"/>
      <c r="DQ36" s="4"/>
      <c r="DR36" s="4"/>
      <c r="DS36" s="4"/>
      <c r="DT36" s="4"/>
      <c r="DU36" s="4"/>
      <c r="DV36" s="4"/>
      <c r="DW36" s="4"/>
      <c r="DX36" s="4"/>
      <c r="DY36" s="4"/>
      <c r="DZ36" s="4"/>
      <c r="EA36" s="4"/>
      <c r="EB36" s="4"/>
      <c r="EC36" s="4"/>
      <c r="ED36" s="4"/>
    </row>
    <row r="37" spans="2:134" ht="30" customHeight="1" thickBot="1" x14ac:dyDescent="0.35">
      <c r="B37" s="27" t="s">
        <v>70</v>
      </c>
      <c r="C37" s="12" t="s">
        <v>38</v>
      </c>
      <c r="D37" s="28"/>
      <c r="E37" s="47"/>
      <c r="F37" s="48"/>
      <c r="G37" s="29"/>
      <c r="H37" s="29" t="str">
        <f t="shared" si="72"/>
        <v/>
      </c>
      <c r="I37" s="4"/>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c r="AL37" s="4"/>
      <c r="AM37" s="4"/>
      <c r="AN37" s="4"/>
      <c r="AO37" s="4"/>
      <c r="AP37" s="4"/>
      <c r="AQ37" s="4"/>
      <c r="AR37" s="4"/>
      <c r="AS37" s="4"/>
      <c r="AT37" s="4"/>
      <c r="AU37" s="4"/>
      <c r="AV37" s="4"/>
      <c r="AW37" s="4"/>
      <c r="AX37" s="4"/>
      <c r="AY37" s="4"/>
      <c r="AZ37" s="4"/>
      <c r="BA37" s="4"/>
      <c r="BB37" s="4"/>
      <c r="BC37" s="4"/>
      <c r="BD37" s="4"/>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c r="CY37" s="4"/>
      <c r="CZ37" s="4"/>
      <c r="DA37" s="4"/>
      <c r="DB37" s="4"/>
      <c r="DC37" s="4"/>
      <c r="DD37" s="4"/>
      <c r="DE37" s="4"/>
      <c r="DF37" s="4"/>
      <c r="DG37" s="4"/>
      <c r="DH37" s="4"/>
      <c r="DI37" s="4"/>
      <c r="DJ37" s="4"/>
      <c r="DK37" s="4"/>
      <c r="DL37" s="4"/>
      <c r="DM37" s="4"/>
      <c r="DN37" s="4"/>
      <c r="DO37" s="4"/>
      <c r="DP37" s="4"/>
      <c r="DQ37" s="4"/>
      <c r="DR37" s="4"/>
      <c r="DS37" s="4"/>
      <c r="DT37" s="4"/>
      <c r="DU37" s="4"/>
      <c r="DV37" s="4"/>
      <c r="DW37" s="4"/>
      <c r="DX37" s="4"/>
      <c r="DY37" s="4"/>
      <c r="DZ37" s="4"/>
      <c r="EA37" s="4"/>
      <c r="EB37" s="4"/>
      <c r="EC37" s="4"/>
      <c r="ED37" s="4"/>
    </row>
    <row r="38" spans="2:134" ht="30" customHeight="1" thickBot="1" x14ac:dyDescent="0.35">
      <c r="B38" s="62" t="s">
        <v>65</v>
      </c>
      <c r="C38" s="13" t="s">
        <v>38</v>
      </c>
      <c r="D38" s="30">
        <v>0</v>
      </c>
      <c r="E38" s="49">
        <f>F95</f>
        <v>46346</v>
      </c>
      <c r="F38" s="49">
        <f>E38</f>
        <v>46346</v>
      </c>
      <c r="G38" s="29"/>
      <c r="H38" s="29">
        <f t="shared" si="72"/>
        <v>1</v>
      </c>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c r="AP38" s="4"/>
      <c r="AQ38" s="4"/>
      <c r="AR38" s="4"/>
      <c r="AS38" s="4"/>
      <c r="AT38" s="4"/>
      <c r="AU38" s="4"/>
      <c r="AV38" s="4"/>
      <c r="AW38" s="4"/>
      <c r="AX38" s="4"/>
      <c r="AY38" s="4"/>
      <c r="AZ38" s="4"/>
      <c r="BA38" s="4"/>
      <c r="BB38" s="4"/>
      <c r="BC38" s="4"/>
      <c r="BD38" s="4"/>
      <c r="BE38" s="4"/>
      <c r="BF38" s="4"/>
      <c r="BG38" s="4"/>
      <c r="BH38" s="4"/>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c r="CY38" s="4"/>
      <c r="CZ38" s="4"/>
      <c r="DA38" s="4"/>
      <c r="DB38" s="4"/>
      <c r="DC38" s="4"/>
      <c r="DD38" s="4"/>
      <c r="DE38" s="4"/>
      <c r="DF38" s="4"/>
      <c r="DG38" s="4"/>
      <c r="DH38" s="4"/>
      <c r="DI38" s="4"/>
      <c r="DJ38" s="4"/>
      <c r="DK38" s="4"/>
      <c r="DL38" s="4"/>
      <c r="DM38" s="4"/>
      <c r="DN38" s="4"/>
      <c r="DO38" s="4"/>
      <c r="DP38" s="4"/>
      <c r="DQ38" s="4"/>
      <c r="DR38" s="4"/>
      <c r="DS38" s="4"/>
      <c r="DT38" s="4"/>
      <c r="DU38" s="4"/>
      <c r="DV38" s="4"/>
      <c r="DW38" s="4"/>
      <c r="DX38" s="4"/>
      <c r="DY38" s="4"/>
      <c r="DZ38" s="4"/>
      <c r="EA38" s="4"/>
      <c r="EB38" s="4"/>
      <c r="EC38" s="4"/>
      <c r="ED38" s="4"/>
    </row>
    <row r="39" spans="2:134" ht="30" customHeight="1" thickBot="1" x14ac:dyDescent="0.35">
      <c r="B39" s="27" t="s">
        <v>71</v>
      </c>
      <c r="C39" s="12" t="s">
        <v>38</v>
      </c>
      <c r="D39" s="28"/>
      <c r="E39" s="47"/>
      <c r="F39" s="48"/>
      <c r="G39" s="29"/>
      <c r="H39" s="29" t="str">
        <f t="shared" si="72"/>
        <v/>
      </c>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c r="AP39" s="4"/>
      <c r="AQ39" s="4"/>
      <c r="AR39" s="4"/>
      <c r="AS39" s="4"/>
      <c r="AT39" s="4"/>
      <c r="AU39" s="4"/>
      <c r="AV39" s="4"/>
      <c r="AW39" s="4"/>
      <c r="AX39" s="4"/>
      <c r="AY39" s="4"/>
      <c r="AZ39" s="4"/>
      <c r="BA39" s="4"/>
      <c r="BB39" s="4"/>
      <c r="BC39" s="4"/>
      <c r="BD39" s="4"/>
      <c r="BE39" s="4"/>
      <c r="BF39" s="4"/>
      <c r="BG39" s="4"/>
      <c r="BH39" s="4"/>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c r="CY39" s="4"/>
      <c r="CZ39" s="4"/>
      <c r="DA39" s="4"/>
      <c r="DB39" s="4"/>
      <c r="DC39" s="4"/>
      <c r="DD39" s="4"/>
      <c r="DE39" s="4"/>
      <c r="DF39" s="4"/>
      <c r="DG39" s="4"/>
      <c r="DH39" s="4"/>
      <c r="DI39" s="4"/>
      <c r="DJ39" s="4"/>
      <c r="DK39" s="4"/>
      <c r="DL39" s="4"/>
      <c r="DM39" s="4"/>
      <c r="DN39" s="4"/>
      <c r="DO39" s="4"/>
      <c r="DP39" s="4"/>
      <c r="DQ39" s="4"/>
      <c r="DR39" s="4"/>
      <c r="DS39" s="4"/>
      <c r="DT39" s="4"/>
      <c r="DU39" s="4"/>
      <c r="DV39" s="4"/>
      <c r="DW39" s="4"/>
      <c r="DX39" s="4"/>
      <c r="DY39" s="4"/>
      <c r="DZ39" s="4"/>
      <c r="EA39" s="4"/>
      <c r="EB39" s="4"/>
      <c r="EC39" s="4"/>
      <c r="ED39" s="4"/>
    </row>
    <row r="40" spans="2:134" ht="30" customHeight="1" thickBot="1" x14ac:dyDescent="0.35">
      <c r="B40" s="15" t="s">
        <v>66</v>
      </c>
      <c r="C40" s="13" t="s">
        <v>38</v>
      </c>
      <c r="D40" s="30">
        <v>0</v>
      </c>
      <c r="E40" s="49">
        <f>F38</f>
        <v>46346</v>
      </c>
      <c r="F40" s="49">
        <f>E40</f>
        <v>46346</v>
      </c>
      <c r="G40" s="29"/>
      <c r="H40" s="29">
        <f t="shared" si="72"/>
        <v>1</v>
      </c>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c r="BV40" s="4"/>
      <c r="BW40" s="4"/>
      <c r="BX40" s="4"/>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c r="CY40" s="4"/>
      <c r="CZ40" s="4"/>
      <c r="DA40" s="4"/>
      <c r="DB40" s="4"/>
      <c r="DC40" s="4"/>
      <c r="DD40" s="4"/>
      <c r="DE40" s="4"/>
      <c r="DF40" s="4"/>
      <c r="DG40" s="4"/>
      <c r="DH40" s="4"/>
      <c r="DI40" s="4"/>
      <c r="DJ40" s="4"/>
      <c r="DK40" s="4"/>
      <c r="DL40" s="4"/>
      <c r="DM40" s="4"/>
      <c r="DN40" s="4"/>
      <c r="DO40" s="4"/>
      <c r="DP40" s="4"/>
      <c r="DQ40" s="4"/>
      <c r="DR40" s="4"/>
      <c r="DS40" s="4"/>
      <c r="DT40" s="4"/>
      <c r="DU40" s="4"/>
      <c r="DV40" s="4"/>
      <c r="DW40" s="4"/>
      <c r="DX40" s="4"/>
      <c r="DY40" s="4"/>
      <c r="DZ40" s="4"/>
      <c r="EA40" s="4"/>
      <c r="EB40" s="4"/>
      <c r="EC40" s="4"/>
      <c r="ED40" s="4"/>
    </row>
    <row r="41" spans="2:134" ht="30" customHeight="1" thickBot="1" x14ac:dyDescent="0.35">
      <c r="B41" s="27" t="s">
        <v>73</v>
      </c>
      <c r="C41" s="12" t="s">
        <v>38</v>
      </c>
      <c r="D41" s="28"/>
      <c r="E41" s="47"/>
      <c r="F41" s="48"/>
      <c r="G41" s="29"/>
      <c r="H41" s="29" t="str">
        <f t="shared" si="72"/>
        <v/>
      </c>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c r="BV41" s="4"/>
      <c r="BW41" s="4"/>
      <c r="BX41" s="4"/>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c r="CY41" s="4"/>
      <c r="CZ41" s="4"/>
      <c r="DA41" s="4"/>
      <c r="DB41" s="4"/>
      <c r="DC41" s="4"/>
      <c r="DD41" s="4"/>
      <c r="DE41" s="4"/>
      <c r="DF41" s="4"/>
      <c r="DG41" s="4"/>
      <c r="DH41" s="4"/>
      <c r="DI41" s="4"/>
      <c r="DJ41" s="4"/>
      <c r="DK41" s="4"/>
      <c r="DL41" s="4"/>
      <c r="DM41" s="4"/>
      <c r="DN41" s="4"/>
      <c r="DO41" s="4"/>
      <c r="DP41" s="4"/>
      <c r="DQ41" s="4"/>
      <c r="DR41" s="4"/>
      <c r="DS41" s="4"/>
      <c r="DT41" s="4"/>
      <c r="DU41" s="4"/>
      <c r="DV41" s="4"/>
      <c r="DW41" s="4"/>
      <c r="DX41" s="4"/>
      <c r="DY41" s="4"/>
      <c r="DZ41" s="4"/>
      <c r="EA41" s="4"/>
      <c r="EB41" s="4"/>
      <c r="EC41" s="4"/>
      <c r="ED41" s="4"/>
    </row>
    <row r="42" spans="2:134" ht="30" customHeight="1" thickBot="1" x14ac:dyDescent="0.35">
      <c r="B42" s="62" t="s">
        <v>68</v>
      </c>
      <c r="C42" s="13" t="s">
        <v>38</v>
      </c>
      <c r="D42" s="30">
        <v>0</v>
      </c>
      <c r="E42" s="49">
        <f>F40+1</f>
        <v>46347</v>
      </c>
      <c r="F42" s="49">
        <f>E42+1</f>
        <v>46348</v>
      </c>
      <c r="G42" s="29"/>
      <c r="H42" s="29">
        <f t="shared" si="72"/>
        <v>2</v>
      </c>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c r="BV42" s="4"/>
      <c r="BW42" s="4"/>
      <c r="BX42" s="4"/>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c r="CY42" s="4"/>
      <c r="CZ42" s="4"/>
      <c r="DA42" s="4"/>
      <c r="DB42" s="4"/>
      <c r="DC42" s="4"/>
      <c r="DD42" s="4"/>
      <c r="DE42" s="4"/>
      <c r="DF42" s="4"/>
      <c r="DG42" s="4"/>
      <c r="DH42" s="4"/>
      <c r="DI42" s="4"/>
      <c r="DJ42" s="4"/>
      <c r="DK42" s="4"/>
      <c r="DL42" s="4"/>
      <c r="DM42" s="4"/>
      <c r="DN42" s="4"/>
      <c r="DO42" s="4"/>
      <c r="DP42" s="4"/>
      <c r="DQ42" s="4"/>
      <c r="DR42" s="4"/>
      <c r="DS42" s="4"/>
      <c r="DT42" s="4"/>
      <c r="DU42" s="4"/>
      <c r="DV42" s="4"/>
      <c r="DW42" s="4"/>
      <c r="DX42" s="4"/>
      <c r="DY42" s="4"/>
      <c r="DZ42" s="4"/>
      <c r="EA42" s="4"/>
      <c r="EB42" s="4"/>
      <c r="EC42" s="4"/>
      <c r="ED42" s="4"/>
    </row>
    <row r="43" spans="2:134" ht="30" customHeight="1" thickBot="1" x14ac:dyDescent="0.35">
      <c r="B43" s="27" t="s">
        <v>58</v>
      </c>
      <c r="C43" s="12" t="s">
        <v>38</v>
      </c>
      <c r="D43" s="28"/>
      <c r="E43" s="47"/>
      <c r="F43" s="48"/>
      <c r="G43" s="29"/>
      <c r="H43" s="29" t="str">
        <f t="shared" si="72"/>
        <v/>
      </c>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c r="AP43" s="4"/>
      <c r="AQ43" s="4"/>
      <c r="AR43" s="4"/>
      <c r="AS43" s="4"/>
      <c r="AT43" s="4"/>
      <c r="AU43" s="4"/>
      <c r="AV43" s="4"/>
      <c r="AW43" s="4"/>
      <c r="AX43" s="4"/>
      <c r="AY43" s="4"/>
      <c r="AZ43" s="4"/>
      <c r="BA43" s="4"/>
      <c r="BB43" s="4"/>
      <c r="BC43" s="4"/>
      <c r="BD43" s="4"/>
      <c r="BE43" s="4"/>
      <c r="BF43" s="4"/>
      <c r="BG43" s="4"/>
      <c r="BH43" s="4"/>
      <c r="BI43" s="4"/>
      <c r="BJ43" s="4"/>
      <c r="BK43" s="4"/>
      <c r="BL43" s="4"/>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c r="CY43" s="4"/>
      <c r="CZ43" s="4"/>
      <c r="DA43" s="4"/>
      <c r="DB43" s="4"/>
      <c r="DC43" s="4"/>
      <c r="DD43" s="4"/>
      <c r="DE43" s="4"/>
      <c r="DF43" s="4"/>
      <c r="DG43" s="4"/>
      <c r="DH43" s="4"/>
      <c r="DI43" s="4"/>
      <c r="DJ43" s="4"/>
      <c r="DK43" s="4"/>
      <c r="DL43" s="4"/>
      <c r="DM43" s="4"/>
      <c r="DN43" s="4"/>
      <c r="DO43" s="4"/>
      <c r="DP43" s="4"/>
      <c r="DQ43" s="4"/>
      <c r="DR43" s="4"/>
      <c r="DS43" s="4"/>
      <c r="DT43" s="4"/>
      <c r="DU43" s="4"/>
      <c r="DV43" s="4"/>
      <c r="DW43" s="4"/>
      <c r="DX43" s="4"/>
      <c r="DY43" s="4"/>
      <c r="DZ43" s="4"/>
      <c r="EA43" s="4"/>
      <c r="EB43" s="4"/>
      <c r="EC43" s="4"/>
      <c r="ED43" s="4"/>
    </row>
    <row r="44" spans="2:134" ht="30" customHeight="1" thickBot="1" x14ac:dyDescent="0.35">
      <c r="B44" s="62" t="s">
        <v>74</v>
      </c>
      <c r="C44" s="13" t="s">
        <v>38</v>
      </c>
      <c r="D44" s="30">
        <v>0</v>
      </c>
      <c r="E44" s="49">
        <f>F42</f>
        <v>46348</v>
      </c>
      <c r="F44" s="49">
        <f>E44</f>
        <v>46348</v>
      </c>
      <c r="G44" s="29"/>
      <c r="H44" s="29">
        <f t="shared" si="72"/>
        <v>1</v>
      </c>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c r="AP44" s="4"/>
      <c r="AQ44" s="4"/>
      <c r="AR44" s="4"/>
      <c r="AS44" s="4"/>
      <c r="AT44" s="4"/>
      <c r="AU44" s="4"/>
      <c r="AV44" s="4"/>
      <c r="AW44" s="4"/>
      <c r="AX44" s="4"/>
      <c r="AY44" s="4"/>
      <c r="AZ44" s="4"/>
      <c r="BA44" s="4"/>
      <c r="BB44" s="4"/>
      <c r="BC44" s="4"/>
      <c r="BD44" s="4"/>
      <c r="BE44" s="4"/>
      <c r="BF44" s="4"/>
      <c r="BG44" s="4"/>
      <c r="BH44" s="4"/>
      <c r="BI44" s="4"/>
      <c r="BJ44" s="4"/>
      <c r="BK44" s="4"/>
      <c r="BL44" s="4"/>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c r="CY44" s="4"/>
      <c r="CZ44" s="4"/>
      <c r="DA44" s="4"/>
      <c r="DB44" s="4"/>
      <c r="DC44" s="4"/>
      <c r="DD44" s="4"/>
      <c r="DE44" s="4"/>
      <c r="DF44" s="4"/>
      <c r="DG44" s="4"/>
      <c r="DH44" s="4"/>
      <c r="DI44" s="4"/>
      <c r="DJ44" s="4"/>
      <c r="DK44" s="4"/>
      <c r="DL44" s="4"/>
      <c r="DM44" s="4"/>
      <c r="DN44" s="4"/>
      <c r="DO44" s="4"/>
      <c r="DP44" s="4"/>
      <c r="DQ44" s="4"/>
      <c r="DR44" s="4"/>
      <c r="DS44" s="4"/>
      <c r="DT44" s="4"/>
      <c r="DU44" s="4"/>
      <c r="DV44" s="4"/>
      <c r="DW44" s="4"/>
      <c r="DX44" s="4"/>
      <c r="DY44" s="4"/>
      <c r="DZ44" s="4"/>
      <c r="EA44" s="4"/>
      <c r="EB44" s="4"/>
      <c r="EC44" s="4"/>
      <c r="ED44" s="4"/>
    </row>
    <row r="45" spans="2:134" ht="30" customHeight="1" thickBot="1" x14ac:dyDescent="0.35">
      <c r="B45" s="62" t="s">
        <v>75</v>
      </c>
      <c r="C45" s="13" t="s">
        <v>38</v>
      </c>
      <c r="D45" s="30">
        <v>0</v>
      </c>
      <c r="E45" s="49">
        <f>F42</f>
        <v>46348</v>
      </c>
      <c r="F45" s="49">
        <f>E45</f>
        <v>46348</v>
      </c>
      <c r="G45" s="29"/>
      <c r="H45" s="29">
        <f t="shared" si="72"/>
        <v>1</v>
      </c>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c r="AP45" s="4"/>
      <c r="AQ45" s="4"/>
      <c r="AR45" s="4"/>
      <c r="AS45" s="4"/>
      <c r="AT45" s="4"/>
      <c r="AU45" s="4"/>
      <c r="AV45" s="4"/>
      <c r="AW45" s="4"/>
      <c r="AX45" s="4"/>
      <c r="AY45" s="4"/>
      <c r="AZ45" s="4"/>
      <c r="BA45" s="4"/>
      <c r="BB45" s="4"/>
      <c r="BC45" s="4"/>
      <c r="BD45" s="4"/>
      <c r="BE45" s="4"/>
      <c r="BF45" s="4"/>
      <c r="BG45" s="4"/>
      <c r="BH45" s="4"/>
      <c r="BI45" s="4"/>
      <c r="BJ45" s="4"/>
      <c r="BK45" s="4"/>
      <c r="BL45" s="4"/>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c r="CY45" s="4"/>
      <c r="CZ45" s="4"/>
      <c r="DA45" s="4"/>
      <c r="DB45" s="4"/>
      <c r="DC45" s="4"/>
      <c r="DD45" s="4"/>
      <c r="DE45" s="4"/>
      <c r="DF45" s="4"/>
      <c r="DG45" s="4"/>
      <c r="DH45" s="4"/>
      <c r="DI45" s="4"/>
      <c r="DJ45" s="4"/>
      <c r="DK45" s="4"/>
      <c r="DL45" s="4"/>
      <c r="DM45" s="4"/>
      <c r="DN45" s="4"/>
      <c r="DO45" s="4"/>
      <c r="DP45" s="4"/>
      <c r="DQ45" s="4"/>
      <c r="DR45" s="4"/>
      <c r="DS45" s="4"/>
      <c r="DT45" s="4"/>
      <c r="DU45" s="4"/>
      <c r="DV45" s="4"/>
      <c r="DW45" s="4"/>
      <c r="DX45" s="4"/>
      <c r="DY45" s="4"/>
      <c r="DZ45" s="4"/>
      <c r="EA45" s="4"/>
      <c r="EB45" s="4"/>
      <c r="EC45" s="4"/>
      <c r="ED45" s="4"/>
    </row>
    <row r="46" spans="2:134" ht="30" customHeight="1" thickBot="1" x14ac:dyDescent="0.35">
      <c r="B46" s="77" t="s">
        <v>226</v>
      </c>
      <c r="C46" s="13" t="s">
        <v>38</v>
      </c>
      <c r="D46" s="30">
        <v>0</v>
      </c>
      <c r="E46" s="49">
        <f>F45</f>
        <v>46348</v>
      </c>
      <c r="F46" s="49">
        <f>E46+1</f>
        <v>46349</v>
      </c>
      <c r="G46" s="29"/>
      <c r="H46" s="29">
        <f t="shared" si="72"/>
        <v>2</v>
      </c>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c r="BN46" s="4"/>
      <c r="BO46" s="4"/>
      <c r="BP46" s="4"/>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c r="CY46" s="4"/>
      <c r="CZ46" s="4"/>
      <c r="DA46" s="4"/>
      <c r="DB46" s="4"/>
      <c r="DC46" s="4"/>
      <c r="DD46" s="4"/>
      <c r="DE46" s="4"/>
      <c r="DF46" s="4"/>
      <c r="DG46" s="4"/>
      <c r="DH46" s="4"/>
      <c r="DI46" s="4"/>
      <c r="DJ46" s="4"/>
      <c r="DK46" s="4"/>
      <c r="DL46" s="4"/>
      <c r="DM46" s="4"/>
      <c r="DN46" s="4"/>
      <c r="DO46" s="4"/>
      <c r="DP46" s="4"/>
      <c r="DQ46" s="4"/>
      <c r="DR46" s="4"/>
      <c r="DS46" s="4"/>
      <c r="DT46" s="4"/>
      <c r="DU46" s="4"/>
      <c r="DV46" s="4"/>
      <c r="DW46" s="4"/>
      <c r="DX46" s="4"/>
      <c r="DY46" s="4"/>
      <c r="DZ46" s="4"/>
      <c r="EA46" s="4"/>
      <c r="EB46" s="4"/>
      <c r="EC46" s="4"/>
      <c r="ED46" s="4"/>
    </row>
    <row r="47" spans="2:134" ht="30" customHeight="1" thickBot="1" x14ac:dyDescent="0.35">
      <c r="B47" s="62" t="s">
        <v>76</v>
      </c>
      <c r="C47" s="13" t="s">
        <v>38</v>
      </c>
      <c r="D47" s="30">
        <v>0</v>
      </c>
      <c r="E47" s="49">
        <f>F46</f>
        <v>46349</v>
      </c>
      <c r="F47" s="49">
        <f>E47</f>
        <v>46349</v>
      </c>
      <c r="G47" s="29"/>
      <c r="H47" s="29">
        <f t="shared" si="72"/>
        <v>1</v>
      </c>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c r="BN47" s="4"/>
      <c r="BO47" s="4"/>
      <c r="BP47" s="4"/>
      <c r="BQ47" s="4"/>
      <c r="BR47" s="4"/>
      <c r="BS47" s="4"/>
      <c r="BT47" s="4"/>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c r="CY47" s="4"/>
      <c r="CZ47" s="4"/>
      <c r="DA47" s="4"/>
      <c r="DB47" s="4"/>
      <c r="DC47" s="4"/>
      <c r="DD47" s="4"/>
      <c r="DE47" s="4"/>
      <c r="DF47" s="4"/>
      <c r="DG47" s="4"/>
      <c r="DH47" s="4"/>
      <c r="DI47" s="4"/>
      <c r="DJ47" s="4"/>
      <c r="DK47" s="4"/>
      <c r="DL47" s="4"/>
      <c r="DM47" s="4"/>
      <c r="DN47" s="4"/>
      <c r="DO47" s="4"/>
      <c r="DP47" s="4"/>
      <c r="DQ47" s="4"/>
      <c r="DR47" s="4"/>
      <c r="DS47" s="4"/>
      <c r="DT47" s="4"/>
      <c r="DU47" s="4"/>
      <c r="DV47" s="4"/>
      <c r="DW47" s="4"/>
      <c r="DX47" s="4"/>
      <c r="DY47" s="4"/>
      <c r="DZ47" s="4"/>
      <c r="EA47" s="4"/>
      <c r="EB47" s="4"/>
      <c r="EC47" s="4"/>
      <c r="ED47" s="4"/>
    </row>
    <row r="48" spans="2:134" ht="30" customHeight="1" thickBot="1" x14ac:dyDescent="0.35">
      <c r="B48" s="57" t="s">
        <v>93</v>
      </c>
      <c r="C48" s="54" t="s">
        <v>38</v>
      </c>
      <c r="D48" s="55"/>
      <c r="E48" s="56"/>
      <c r="F48" s="56"/>
      <c r="G48" s="29"/>
      <c r="H48" s="29" t="str">
        <f t="shared" si="72"/>
        <v/>
      </c>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c r="BN48" s="4"/>
      <c r="BO48" s="4"/>
      <c r="BP48" s="4"/>
      <c r="BQ48" s="4"/>
      <c r="BR48" s="4"/>
      <c r="BS48" s="4"/>
      <c r="BT48" s="4"/>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c r="CY48" s="4"/>
      <c r="CZ48" s="4"/>
      <c r="DA48" s="4"/>
      <c r="DB48" s="4"/>
      <c r="DC48" s="4"/>
      <c r="DD48" s="4"/>
      <c r="DE48" s="4"/>
      <c r="DF48" s="4"/>
      <c r="DG48" s="4"/>
      <c r="DH48" s="4"/>
      <c r="DI48" s="4"/>
      <c r="DJ48" s="4"/>
      <c r="DK48" s="4"/>
      <c r="DL48" s="4"/>
      <c r="DM48" s="4"/>
      <c r="DN48" s="4"/>
      <c r="DO48" s="4"/>
      <c r="DP48" s="4"/>
      <c r="DQ48" s="4"/>
      <c r="DR48" s="4"/>
      <c r="DS48" s="4"/>
      <c r="DT48" s="4"/>
      <c r="DU48" s="4"/>
      <c r="DV48" s="4"/>
      <c r="DW48" s="4"/>
      <c r="DX48" s="4"/>
      <c r="DY48" s="4"/>
      <c r="DZ48" s="4"/>
      <c r="EA48" s="4"/>
      <c r="EB48" s="4"/>
      <c r="EC48" s="4"/>
      <c r="ED48" s="4"/>
    </row>
    <row r="49" spans="2:134" ht="30" customHeight="1" thickBot="1" x14ac:dyDescent="0.35">
      <c r="B49" s="27" t="s">
        <v>78</v>
      </c>
      <c r="C49" s="12" t="s">
        <v>38</v>
      </c>
      <c r="D49" s="28"/>
      <c r="E49" s="47"/>
      <c r="F49" s="48"/>
      <c r="G49" s="29"/>
      <c r="H49" s="29" t="str">
        <f t="shared" si="72"/>
        <v/>
      </c>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c r="BN49" s="4"/>
      <c r="BO49" s="4"/>
      <c r="BP49" s="4"/>
      <c r="BQ49" s="4"/>
      <c r="BR49" s="4"/>
      <c r="BS49" s="4"/>
      <c r="BT49" s="4"/>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c r="CY49" s="4"/>
      <c r="CZ49" s="4"/>
      <c r="DA49" s="4"/>
      <c r="DB49" s="4"/>
      <c r="DC49" s="4"/>
      <c r="DD49" s="4"/>
      <c r="DE49" s="4"/>
      <c r="DF49" s="4"/>
      <c r="DG49" s="4"/>
      <c r="DH49" s="4"/>
      <c r="DI49" s="4"/>
      <c r="DJ49" s="4"/>
      <c r="DK49" s="4"/>
      <c r="DL49" s="4"/>
      <c r="DM49" s="4"/>
      <c r="DN49" s="4"/>
      <c r="DO49" s="4"/>
      <c r="DP49" s="4"/>
      <c r="DQ49" s="4"/>
      <c r="DR49" s="4"/>
      <c r="DS49" s="4"/>
      <c r="DT49" s="4"/>
      <c r="DU49" s="4"/>
      <c r="DV49" s="4"/>
      <c r="DW49" s="4"/>
      <c r="DX49" s="4"/>
      <c r="DY49" s="4"/>
      <c r="DZ49" s="4"/>
      <c r="EA49" s="4"/>
      <c r="EB49" s="4"/>
      <c r="EC49" s="4"/>
      <c r="ED49" s="4"/>
    </row>
    <row r="50" spans="2:134" ht="30" customHeight="1" thickBot="1" x14ac:dyDescent="0.35">
      <c r="B50" s="62" t="s">
        <v>52</v>
      </c>
      <c r="C50" s="13" t="s">
        <v>38</v>
      </c>
      <c r="D50" s="30">
        <v>0</v>
      </c>
      <c r="E50" s="49">
        <f>F33</f>
        <v>46324</v>
      </c>
      <c r="F50" s="49">
        <f>E50</f>
        <v>46324</v>
      </c>
      <c r="G50" s="29"/>
      <c r="H50" s="29">
        <f t="shared" si="72"/>
        <v>1</v>
      </c>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c r="BN50" s="4"/>
      <c r="BO50" s="4"/>
      <c r="BP50" s="4"/>
      <c r="BQ50" s="4"/>
      <c r="BR50" s="4"/>
      <c r="BS50" s="4"/>
      <c r="BT50" s="4"/>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c r="CY50" s="4"/>
      <c r="CZ50" s="4"/>
      <c r="DA50" s="4"/>
      <c r="DB50" s="4"/>
      <c r="DC50" s="4"/>
      <c r="DD50" s="4"/>
      <c r="DE50" s="4"/>
      <c r="DF50" s="4"/>
      <c r="DG50" s="4"/>
      <c r="DH50" s="4"/>
      <c r="DI50" s="4"/>
      <c r="DJ50" s="4"/>
      <c r="DK50" s="4"/>
      <c r="DL50" s="4"/>
      <c r="DM50" s="4"/>
      <c r="DN50" s="4"/>
      <c r="DO50" s="4"/>
      <c r="DP50" s="4"/>
      <c r="DQ50" s="4"/>
      <c r="DR50" s="4"/>
      <c r="DS50" s="4"/>
      <c r="DT50" s="4"/>
      <c r="DU50" s="4"/>
      <c r="DV50" s="4"/>
      <c r="DW50" s="4"/>
      <c r="DX50" s="4"/>
      <c r="DY50" s="4"/>
      <c r="DZ50" s="4"/>
      <c r="EA50" s="4"/>
      <c r="EB50" s="4"/>
      <c r="EC50" s="4"/>
      <c r="ED50" s="4"/>
    </row>
    <row r="51" spans="2:134" ht="30" customHeight="1" thickBot="1" x14ac:dyDescent="0.35">
      <c r="B51" s="62" t="s">
        <v>53</v>
      </c>
      <c r="C51" s="13" t="s">
        <v>38</v>
      </c>
      <c r="D51" s="30">
        <v>0</v>
      </c>
      <c r="E51" s="49">
        <f>F50</f>
        <v>46324</v>
      </c>
      <c r="F51" s="49">
        <f>E51</f>
        <v>46324</v>
      </c>
      <c r="G51" s="29"/>
      <c r="H51" s="29">
        <f t="shared" si="72"/>
        <v>1</v>
      </c>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c r="AP51" s="4"/>
      <c r="AQ51" s="4"/>
      <c r="AR51" s="4"/>
      <c r="AS51" s="4"/>
      <c r="AT51" s="4"/>
      <c r="AU51" s="4"/>
      <c r="AV51" s="4"/>
      <c r="AW51" s="4"/>
      <c r="AX51" s="4"/>
      <c r="AY51" s="4"/>
      <c r="AZ51" s="4"/>
      <c r="BA51" s="4"/>
      <c r="BB51" s="4"/>
      <c r="BC51" s="4"/>
      <c r="BD51" s="4"/>
      <c r="BE51" s="4"/>
      <c r="BF51" s="4"/>
      <c r="BG51" s="4"/>
      <c r="BH51" s="4"/>
      <c r="BI51" s="4"/>
      <c r="BJ51" s="4"/>
      <c r="BK51" s="4"/>
      <c r="BL51" s="4"/>
      <c r="BM51" s="4"/>
      <c r="BN51" s="4"/>
      <c r="BO51" s="4"/>
      <c r="BP51" s="4"/>
      <c r="BQ51" s="4"/>
      <c r="BR51" s="4"/>
      <c r="BS51" s="4"/>
      <c r="BT51" s="4"/>
      <c r="BU51" s="4"/>
      <c r="BV51" s="4"/>
      <c r="BW51" s="4"/>
      <c r="BX51" s="4"/>
      <c r="BY51" s="4"/>
      <c r="BZ51" s="4"/>
      <c r="CA51" s="4"/>
      <c r="CB51" s="4"/>
      <c r="CC51" s="4"/>
      <c r="CD51" s="4"/>
      <c r="CE51" s="4"/>
      <c r="CF51" s="4"/>
      <c r="CG51" s="4"/>
      <c r="CH51" s="4"/>
      <c r="CI51" s="4"/>
      <c r="CJ51" s="4"/>
      <c r="CK51" s="4"/>
      <c r="CL51" s="4"/>
      <c r="CM51" s="4"/>
      <c r="CN51" s="4"/>
      <c r="CO51" s="4"/>
      <c r="CP51" s="4"/>
      <c r="CQ51" s="4"/>
      <c r="CR51" s="4"/>
      <c r="CS51" s="4"/>
      <c r="CT51" s="4"/>
      <c r="CU51" s="4"/>
      <c r="CV51" s="4"/>
      <c r="CW51" s="4"/>
      <c r="CX51" s="4"/>
      <c r="CY51" s="4"/>
      <c r="CZ51" s="4"/>
      <c r="DA51" s="4"/>
      <c r="DB51" s="4"/>
      <c r="DC51" s="4"/>
      <c r="DD51" s="4"/>
      <c r="DE51" s="4"/>
      <c r="DF51" s="4"/>
      <c r="DG51" s="4"/>
      <c r="DH51" s="4"/>
      <c r="DI51" s="4"/>
      <c r="DJ51" s="4"/>
      <c r="DK51" s="4"/>
      <c r="DL51" s="4"/>
      <c r="DM51" s="4"/>
      <c r="DN51" s="4"/>
      <c r="DO51" s="4"/>
      <c r="DP51" s="4"/>
      <c r="DQ51" s="4"/>
      <c r="DR51" s="4"/>
      <c r="DS51" s="4"/>
      <c r="DT51" s="4"/>
      <c r="DU51" s="4"/>
      <c r="DV51" s="4"/>
      <c r="DW51" s="4"/>
      <c r="DX51" s="4"/>
      <c r="DY51" s="4"/>
      <c r="DZ51" s="4"/>
      <c r="EA51" s="4"/>
      <c r="EB51" s="4"/>
      <c r="EC51" s="4"/>
      <c r="ED51" s="4"/>
    </row>
    <row r="52" spans="2:134" ht="30" customHeight="1" thickBot="1" x14ac:dyDescent="0.35">
      <c r="B52" s="77" t="s">
        <v>227</v>
      </c>
      <c r="C52" s="13" t="s">
        <v>38</v>
      </c>
      <c r="D52" s="30">
        <v>0</v>
      </c>
      <c r="E52" s="49">
        <f>F50</f>
        <v>46324</v>
      </c>
      <c r="F52" s="49">
        <f>E52+1</f>
        <v>46325</v>
      </c>
      <c r="G52" s="29"/>
      <c r="H52" s="29">
        <f t="shared" si="72"/>
        <v>2</v>
      </c>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c r="AP52" s="4"/>
      <c r="AQ52" s="4"/>
      <c r="AR52" s="4"/>
      <c r="AS52" s="4"/>
      <c r="AT52" s="4"/>
      <c r="AU52" s="4"/>
      <c r="AV52" s="4"/>
      <c r="AW52" s="4"/>
      <c r="AX52" s="4"/>
      <c r="AY52" s="4"/>
      <c r="AZ52" s="4"/>
      <c r="BA52" s="4"/>
      <c r="BB52" s="4"/>
      <c r="BC52" s="4"/>
      <c r="BD52" s="4"/>
      <c r="BE52" s="4"/>
      <c r="BF52" s="4"/>
      <c r="BG52" s="4"/>
      <c r="BH52" s="4"/>
      <c r="BI52" s="4"/>
      <c r="BJ52" s="4"/>
      <c r="BK52" s="4"/>
      <c r="BL52" s="4"/>
      <c r="BM52" s="4"/>
      <c r="BN52" s="4"/>
      <c r="BO52" s="4"/>
      <c r="BP52" s="4"/>
      <c r="BQ52" s="4"/>
      <c r="BR52" s="4"/>
      <c r="BS52" s="4"/>
      <c r="BT52" s="4"/>
      <c r="BU52" s="4"/>
      <c r="BV52" s="4"/>
      <c r="BW52" s="4"/>
      <c r="BX52" s="4"/>
      <c r="BY52" s="4"/>
      <c r="BZ52" s="4"/>
      <c r="CA52" s="4"/>
      <c r="CB52" s="4"/>
      <c r="CC52" s="4"/>
      <c r="CD52" s="4"/>
      <c r="CE52" s="4"/>
      <c r="CF52" s="4"/>
      <c r="CG52" s="4"/>
      <c r="CH52" s="4"/>
      <c r="CI52" s="4"/>
      <c r="CJ52" s="4"/>
      <c r="CK52" s="4"/>
      <c r="CL52" s="4"/>
      <c r="CM52" s="4"/>
      <c r="CN52" s="4"/>
      <c r="CO52" s="4"/>
      <c r="CP52" s="4"/>
      <c r="CQ52" s="4"/>
      <c r="CR52" s="4"/>
      <c r="CS52" s="4"/>
      <c r="CT52" s="4"/>
      <c r="CU52" s="4"/>
      <c r="CV52" s="4"/>
      <c r="CW52" s="4"/>
      <c r="CX52" s="4"/>
      <c r="CY52" s="4"/>
      <c r="CZ52" s="4"/>
      <c r="DA52" s="4"/>
      <c r="DB52" s="4"/>
      <c r="DC52" s="4"/>
      <c r="DD52" s="4"/>
      <c r="DE52" s="4"/>
      <c r="DF52" s="4"/>
      <c r="DG52" s="4"/>
      <c r="DH52" s="4"/>
      <c r="DI52" s="4"/>
      <c r="DJ52" s="4"/>
      <c r="DK52" s="4"/>
      <c r="DL52" s="4"/>
      <c r="DM52" s="4"/>
      <c r="DN52" s="4"/>
      <c r="DO52" s="4"/>
      <c r="DP52" s="4"/>
      <c r="DQ52" s="4"/>
      <c r="DR52" s="4"/>
      <c r="DS52" s="4"/>
      <c r="DT52" s="4"/>
      <c r="DU52" s="4"/>
      <c r="DV52" s="4"/>
      <c r="DW52" s="4"/>
      <c r="DX52" s="4"/>
      <c r="DY52" s="4"/>
      <c r="DZ52" s="4"/>
      <c r="EA52" s="4"/>
      <c r="EB52" s="4"/>
      <c r="EC52" s="4"/>
      <c r="ED52" s="4"/>
    </row>
    <row r="53" spans="2:134" ht="30" customHeight="1" thickBot="1" x14ac:dyDescent="0.35">
      <c r="B53" s="77" t="s">
        <v>244</v>
      </c>
      <c r="C53" s="13" t="s">
        <v>38</v>
      </c>
      <c r="D53" s="30">
        <v>0</v>
      </c>
      <c r="E53" s="49">
        <f>F51</f>
        <v>46324</v>
      </c>
      <c r="F53" s="49">
        <f>E53+1</f>
        <v>46325</v>
      </c>
      <c r="G53" s="29"/>
      <c r="H53" s="29">
        <f t="shared" si="72"/>
        <v>2</v>
      </c>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c r="AP53" s="4"/>
      <c r="AQ53" s="4"/>
      <c r="AR53" s="4"/>
      <c r="AS53" s="4"/>
      <c r="AT53" s="4"/>
      <c r="AU53" s="4"/>
      <c r="AV53" s="4"/>
      <c r="AW53" s="4"/>
      <c r="AX53" s="4"/>
      <c r="AY53" s="4"/>
      <c r="AZ53" s="4"/>
      <c r="BA53" s="4"/>
      <c r="BB53" s="4"/>
      <c r="BC53" s="4"/>
      <c r="BD53" s="4"/>
      <c r="BE53" s="4"/>
      <c r="BF53" s="4"/>
      <c r="BG53" s="4"/>
      <c r="BH53" s="4"/>
      <c r="BI53" s="4"/>
      <c r="BJ53" s="4"/>
      <c r="BK53" s="4"/>
      <c r="BL53" s="4"/>
      <c r="BM53" s="4"/>
      <c r="BN53" s="4"/>
      <c r="BO53" s="4"/>
      <c r="BP53" s="4"/>
      <c r="BQ53" s="4"/>
      <c r="BR53" s="4"/>
      <c r="BS53" s="4"/>
      <c r="BT53" s="4"/>
      <c r="BU53" s="4"/>
      <c r="BV53" s="4"/>
      <c r="BW53" s="4"/>
      <c r="BX53" s="4"/>
      <c r="BY53" s="4"/>
      <c r="BZ53" s="4"/>
      <c r="CA53" s="4"/>
      <c r="CB53" s="4"/>
      <c r="CC53" s="4"/>
      <c r="CD53" s="4"/>
      <c r="CE53" s="4"/>
      <c r="CF53" s="4"/>
      <c r="CG53" s="4"/>
      <c r="CH53" s="4"/>
      <c r="CI53" s="4"/>
      <c r="CJ53" s="4"/>
      <c r="CK53" s="4"/>
      <c r="CL53" s="4"/>
      <c r="CM53" s="4"/>
      <c r="CN53" s="4"/>
      <c r="CO53" s="4"/>
      <c r="CP53" s="4"/>
      <c r="CQ53" s="4"/>
      <c r="CR53" s="4"/>
      <c r="CS53" s="4"/>
      <c r="CT53" s="4"/>
      <c r="CU53" s="4"/>
      <c r="CV53" s="4"/>
      <c r="CW53" s="4"/>
      <c r="CX53" s="4"/>
      <c r="CY53" s="4"/>
      <c r="CZ53" s="4"/>
      <c r="DA53" s="4"/>
      <c r="DB53" s="4"/>
      <c r="DC53" s="4"/>
      <c r="DD53" s="4"/>
      <c r="DE53" s="4"/>
      <c r="DF53" s="4"/>
      <c r="DG53" s="4"/>
      <c r="DH53" s="4"/>
      <c r="DI53" s="4"/>
      <c r="DJ53" s="4"/>
      <c r="DK53" s="4"/>
      <c r="DL53" s="4"/>
      <c r="DM53" s="4"/>
      <c r="DN53" s="4"/>
      <c r="DO53" s="4"/>
      <c r="DP53" s="4"/>
      <c r="DQ53" s="4"/>
      <c r="DR53" s="4"/>
      <c r="DS53" s="4"/>
      <c r="DT53" s="4"/>
      <c r="DU53" s="4"/>
      <c r="DV53" s="4"/>
      <c r="DW53" s="4"/>
      <c r="DX53" s="4"/>
      <c r="DY53" s="4"/>
      <c r="DZ53" s="4"/>
      <c r="EA53" s="4"/>
      <c r="EB53" s="4"/>
      <c r="EC53" s="4"/>
      <c r="ED53" s="4"/>
    </row>
    <row r="54" spans="2:134" ht="30" customHeight="1" thickBot="1" x14ac:dyDescent="0.35">
      <c r="B54" s="62" t="s">
        <v>55</v>
      </c>
      <c r="C54" s="13" t="s">
        <v>38</v>
      </c>
      <c r="D54" s="30">
        <v>0</v>
      </c>
      <c r="E54" s="49">
        <f>F53</f>
        <v>46325</v>
      </c>
      <c r="F54" s="49">
        <f>E54</f>
        <v>46325</v>
      </c>
      <c r="G54" s="29"/>
      <c r="H54" s="29">
        <f t="shared" si="72"/>
        <v>1</v>
      </c>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c r="AP54" s="4"/>
      <c r="AQ54" s="4"/>
      <c r="AR54" s="4"/>
      <c r="AS54" s="4"/>
      <c r="AT54" s="4"/>
      <c r="AU54" s="4"/>
      <c r="AV54" s="4"/>
      <c r="AW54" s="4"/>
      <c r="AX54" s="4"/>
      <c r="AY54" s="4"/>
      <c r="AZ54" s="4"/>
      <c r="BA54" s="4"/>
      <c r="BB54" s="4"/>
      <c r="BC54" s="4"/>
      <c r="BD54" s="4"/>
      <c r="BE54" s="4"/>
      <c r="BF54" s="4"/>
      <c r="BG54" s="4"/>
      <c r="BH54" s="4"/>
      <c r="BI54" s="4"/>
      <c r="BJ54" s="4"/>
      <c r="BK54" s="4"/>
      <c r="BL54" s="4"/>
      <c r="BM54" s="4"/>
      <c r="BN54" s="4"/>
      <c r="BO54" s="4"/>
      <c r="BP54" s="4"/>
      <c r="BQ54" s="4"/>
      <c r="BR54" s="4"/>
      <c r="BS54" s="4"/>
      <c r="BT54" s="4"/>
      <c r="BU54" s="4"/>
      <c r="BV54" s="4"/>
      <c r="BW54" s="4"/>
      <c r="BX54" s="4"/>
      <c r="BY54" s="4"/>
      <c r="BZ54" s="4"/>
      <c r="CA54" s="4"/>
      <c r="CB54" s="4"/>
      <c r="CC54" s="4"/>
      <c r="CD54" s="4"/>
      <c r="CE54" s="4"/>
      <c r="CF54" s="4"/>
      <c r="CG54" s="4"/>
      <c r="CH54" s="4"/>
      <c r="CI54" s="4"/>
      <c r="CJ54" s="4"/>
      <c r="CK54" s="4"/>
      <c r="CL54" s="4"/>
      <c r="CM54" s="4"/>
      <c r="CN54" s="4"/>
      <c r="CO54" s="4"/>
      <c r="CP54" s="4"/>
      <c r="CQ54" s="4"/>
      <c r="CR54" s="4"/>
      <c r="CS54" s="4"/>
      <c r="CT54" s="4"/>
      <c r="CU54" s="4"/>
      <c r="CV54" s="4"/>
      <c r="CW54" s="4"/>
      <c r="CX54" s="4"/>
      <c r="CY54" s="4"/>
      <c r="CZ54" s="4"/>
      <c r="DA54" s="4"/>
      <c r="DB54" s="4"/>
      <c r="DC54" s="4"/>
      <c r="DD54" s="4"/>
      <c r="DE54" s="4"/>
      <c r="DF54" s="4"/>
      <c r="DG54" s="4"/>
      <c r="DH54" s="4"/>
      <c r="DI54" s="4"/>
      <c r="DJ54" s="4"/>
      <c r="DK54" s="4"/>
      <c r="DL54" s="4"/>
      <c r="DM54" s="4"/>
      <c r="DN54" s="4"/>
      <c r="DO54" s="4"/>
      <c r="DP54" s="4"/>
      <c r="DQ54" s="4"/>
      <c r="DR54" s="4"/>
      <c r="DS54" s="4"/>
      <c r="DT54" s="4"/>
      <c r="DU54" s="4"/>
      <c r="DV54" s="4"/>
      <c r="DW54" s="4"/>
      <c r="DX54" s="4"/>
      <c r="DY54" s="4"/>
      <c r="DZ54" s="4"/>
      <c r="EA54" s="4"/>
      <c r="EB54" s="4"/>
      <c r="EC54" s="4"/>
      <c r="ED54" s="4"/>
    </row>
    <row r="55" spans="2:134" ht="30" customHeight="1" thickBot="1" x14ac:dyDescent="0.35">
      <c r="B55" s="27" t="s">
        <v>79</v>
      </c>
      <c r="C55" s="12" t="s">
        <v>38</v>
      </c>
      <c r="D55" s="28"/>
      <c r="E55" s="47"/>
      <c r="F55" s="48"/>
      <c r="G55" s="29"/>
      <c r="H55" s="29" t="str">
        <f t="shared" si="72"/>
        <v/>
      </c>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c r="AP55" s="4"/>
      <c r="AQ55" s="4"/>
      <c r="AR55" s="4"/>
      <c r="AS55" s="4"/>
      <c r="AT55" s="4"/>
      <c r="AU55" s="4"/>
      <c r="AV55" s="4"/>
      <c r="AW55" s="4"/>
      <c r="AX55" s="4"/>
      <c r="AY55" s="4"/>
      <c r="AZ55" s="4"/>
      <c r="BA55" s="4"/>
      <c r="BB55" s="4"/>
      <c r="BC55" s="4"/>
      <c r="BD55" s="4"/>
      <c r="BE55" s="4"/>
      <c r="BF55" s="4"/>
      <c r="BG55" s="4"/>
      <c r="BH55" s="4"/>
      <c r="BI55" s="4"/>
      <c r="BJ55" s="4"/>
      <c r="BK55" s="4"/>
      <c r="BL55" s="4"/>
      <c r="BM55" s="4"/>
      <c r="BN55" s="4"/>
      <c r="BO55" s="4"/>
      <c r="BP55" s="4"/>
      <c r="BQ55" s="4"/>
      <c r="BR55" s="4"/>
      <c r="BS55" s="4"/>
      <c r="BT55" s="4"/>
      <c r="BU55" s="4"/>
      <c r="BV55" s="4"/>
      <c r="BW55" s="4"/>
      <c r="BX55" s="4"/>
      <c r="BY55" s="4"/>
      <c r="BZ55" s="4"/>
      <c r="CA55" s="4"/>
      <c r="CB55" s="4"/>
      <c r="CC55" s="4"/>
      <c r="CD55" s="4"/>
      <c r="CE55" s="4"/>
      <c r="CF55" s="4"/>
      <c r="CG55" s="4"/>
      <c r="CH55" s="4"/>
      <c r="CI55" s="4"/>
      <c r="CJ55" s="4"/>
      <c r="CK55" s="4"/>
      <c r="CL55" s="4"/>
      <c r="CM55" s="4"/>
      <c r="CN55" s="4"/>
      <c r="CO55" s="4"/>
      <c r="CP55" s="4"/>
      <c r="CQ55" s="4"/>
      <c r="CR55" s="4"/>
      <c r="CS55" s="4"/>
      <c r="CT55" s="4"/>
      <c r="CU55" s="4"/>
      <c r="CV55" s="4"/>
      <c r="CW55" s="4"/>
      <c r="CX55" s="4"/>
      <c r="CY55" s="4"/>
      <c r="CZ55" s="4"/>
      <c r="DA55" s="4"/>
      <c r="DB55" s="4"/>
      <c r="DC55" s="4"/>
      <c r="DD55" s="4"/>
      <c r="DE55" s="4"/>
      <c r="DF55" s="4"/>
      <c r="DG55" s="4"/>
      <c r="DH55" s="4"/>
      <c r="DI55" s="4"/>
      <c r="DJ55" s="4"/>
      <c r="DK55" s="4"/>
      <c r="DL55" s="4"/>
      <c r="DM55" s="4"/>
      <c r="DN55" s="4"/>
      <c r="DO55" s="4"/>
      <c r="DP55" s="4"/>
      <c r="DQ55" s="4"/>
      <c r="DR55" s="4"/>
      <c r="DS55" s="4"/>
      <c r="DT55" s="4"/>
      <c r="DU55" s="4"/>
      <c r="DV55" s="4"/>
      <c r="DW55" s="4"/>
      <c r="DX55" s="4"/>
      <c r="DY55" s="4"/>
      <c r="DZ55" s="4"/>
      <c r="EA55" s="4"/>
      <c r="EB55" s="4"/>
      <c r="EC55" s="4"/>
      <c r="ED55" s="4"/>
    </row>
    <row r="56" spans="2:134" ht="30" customHeight="1" thickBot="1" x14ac:dyDescent="0.35">
      <c r="B56" s="62" t="s">
        <v>81</v>
      </c>
      <c r="C56" s="13" t="s">
        <v>38</v>
      </c>
      <c r="D56" s="30">
        <v>0</v>
      </c>
      <c r="E56" s="49">
        <f>F54+3</f>
        <v>46328</v>
      </c>
      <c r="F56" s="49">
        <f>E56+2</f>
        <v>46330</v>
      </c>
      <c r="G56" s="29"/>
      <c r="H56" s="29">
        <f t="shared" si="72"/>
        <v>3</v>
      </c>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c r="AP56" s="4"/>
      <c r="AQ56" s="4"/>
      <c r="AR56" s="4"/>
      <c r="AS56" s="4"/>
      <c r="AT56" s="4"/>
      <c r="AU56" s="4"/>
      <c r="AV56" s="4"/>
      <c r="AW56" s="4"/>
      <c r="AX56" s="4"/>
      <c r="AY56" s="4"/>
      <c r="AZ56" s="4"/>
      <c r="BA56" s="4"/>
      <c r="BB56" s="4"/>
      <c r="BC56" s="4"/>
      <c r="BD56" s="4"/>
      <c r="BE56" s="4"/>
      <c r="BF56" s="4"/>
      <c r="BG56" s="4"/>
      <c r="BH56" s="4"/>
      <c r="BI56" s="4"/>
      <c r="BJ56" s="4"/>
      <c r="BK56" s="4"/>
      <c r="BL56" s="4"/>
      <c r="BM56" s="4"/>
      <c r="BN56" s="4"/>
      <c r="BO56" s="4"/>
      <c r="BP56" s="4"/>
      <c r="BQ56" s="4"/>
      <c r="BR56" s="4"/>
      <c r="BS56" s="4"/>
      <c r="BT56" s="4"/>
      <c r="BU56" s="4"/>
      <c r="BV56" s="4"/>
      <c r="BW56" s="4"/>
      <c r="BX56" s="4"/>
      <c r="BY56" s="4"/>
      <c r="BZ56" s="4"/>
      <c r="CA56" s="4"/>
      <c r="CB56" s="4"/>
      <c r="CC56" s="4"/>
      <c r="CD56" s="4"/>
      <c r="CE56" s="4"/>
      <c r="CF56" s="4"/>
      <c r="CG56" s="4"/>
      <c r="CH56" s="4"/>
      <c r="CI56" s="4"/>
      <c r="CJ56" s="4"/>
      <c r="CK56" s="4"/>
      <c r="CL56" s="4"/>
      <c r="CM56" s="4"/>
      <c r="CN56" s="4"/>
      <c r="CO56" s="4"/>
      <c r="CP56" s="4"/>
      <c r="CQ56" s="4"/>
      <c r="CR56" s="4"/>
      <c r="CS56" s="4"/>
      <c r="CT56" s="4"/>
      <c r="CU56" s="4"/>
      <c r="CV56" s="4"/>
      <c r="CW56" s="4"/>
      <c r="CX56" s="4"/>
      <c r="CY56" s="4"/>
      <c r="CZ56" s="4"/>
      <c r="DA56" s="4"/>
      <c r="DB56" s="4"/>
      <c r="DC56" s="4"/>
      <c r="DD56" s="4"/>
      <c r="DE56" s="4"/>
      <c r="DF56" s="4"/>
      <c r="DG56" s="4"/>
      <c r="DH56" s="4"/>
      <c r="DI56" s="4"/>
      <c r="DJ56" s="4"/>
      <c r="DK56" s="4"/>
      <c r="DL56" s="4"/>
      <c r="DM56" s="4"/>
      <c r="DN56" s="4"/>
      <c r="DO56" s="4"/>
      <c r="DP56" s="4"/>
      <c r="DQ56" s="4"/>
      <c r="DR56" s="4"/>
      <c r="DS56" s="4"/>
      <c r="DT56" s="4"/>
      <c r="DU56" s="4"/>
      <c r="DV56" s="4"/>
      <c r="DW56" s="4"/>
      <c r="DX56" s="4"/>
      <c r="DY56" s="4"/>
      <c r="DZ56" s="4"/>
      <c r="EA56" s="4"/>
      <c r="EB56" s="4"/>
      <c r="EC56" s="4"/>
      <c r="ED56" s="4"/>
    </row>
    <row r="57" spans="2:134" ht="30" customHeight="1" thickBot="1" x14ac:dyDescent="0.35">
      <c r="B57" s="62" t="s">
        <v>80</v>
      </c>
      <c r="C57" s="13" t="s">
        <v>38</v>
      </c>
      <c r="D57" s="30">
        <v>0</v>
      </c>
      <c r="E57" s="49">
        <f>F56</f>
        <v>46330</v>
      </c>
      <c r="F57" s="49">
        <f>E57</f>
        <v>46330</v>
      </c>
      <c r="G57" s="29"/>
      <c r="H57" s="29">
        <f t="shared" ref="H57:H86" si="73">IF(OR(ISBLANK(タスク_開始),ISBLANK(タスク_終了)),"",タスク_終了-タスク_開始+1)</f>
        <v>1</v>
      </c>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c r="AP57" s="4"/>
      <c r="AQ57" s="4"/>
      <c r="AR57" s="4"/>
      <c r="AS57" s="4"/>
      <c r="AT57" s="4"/>
      <c r="AU57" s="4"/>
      <c r="AV57" s="4"/>
      <c r="AW57" s="4"/>
      <c r="AX57" s="4"/>
      <c r="AY57" s="4"/>
      <c r="AZ57" s="4"/>
      <c r="BA57" s="4"/>
      <c r="BB57" s="4"/>
      <c r="BC57" s="4"/>
      <c r="BD57" s="4"/>
      <c r="BE57" s="4"/>
      <c r="BF57" s="4"/>
      <c r="BG57" s="4"/>
      <c r="BH57" s="4"/>
      <c r="BI57" s="4"/>
      <c r="BJ57" s="4"/>
      <c r="BK57" s="4"/>
      <c r="BL57" s="4"/>
      <c r="BM57" s="4"/>
      <c r="BN57" s="4"/>
      <c r="BO57" s="4"/>
      <c r="BP57" s="4"/>
      <c r="BQ57" s="4"/>
      <c r="BR57" s="4"/>
      <c r="BS57" s="4"/>
      <c r="BT57" s="4"/>
      <c r="BU57" s="4"/>
      <c r="BV57" s="4"/>
      <c r="BW57" s="4"/>
      <c r="BX57" s="4"/>
      <c r="BY57" s="4"/>
      <c r="BZ57" s="4"/>
      <c r="CA57" s="4"/>
      <c r="CB57" s="4"/>
      <c r="CC57" s="4"/>
      <c r="CD57" s="4"/>
      <c r="CE57" s="4"/>
      <c r="CF57" s="4"/>
      <c r="CG57" s="4"/>
      <c r="CH57" s="4"/>
      <c r="CI57" s="4"/>
      <c r="CJ57" s="4"/>
      <c r="CK57" s="4"/>
      <c r="CL57" s="4"/>
      <c r="CM57" s="4"/>
      <c r="CN57" s="4"/>
      <c r="CO57" s="4"/>
      <c r="CP57" s="4"/>
      <c r="CQ57" s="4"/>
      <c r="CR57" s="4"/>
      <c r="CS57" s="4"/>
      <c r="CT57" s="4"/>
      <c r="CU57" s="4"/>
      <c r="CV57" s="4"/>
      <c r="CW57" s="4"/>
      <c r="CX57" s="4"/>
      <c r="CY57" s="4"/>
      <c r="CZ57" s="4"/>
      <c r="DA57" s="4"/>
      <c r="DB57" s="4"/>
      <c r="DC57" s="4"/>
      <c r="DD57" s="4"/>
      <c r="DE57" s="4"/>
      <c r="DF57" s="4"/>
      <c r="DG57" s="4"/>
      <c r="DH57" s="4"/>
      <c r="DI57" s="4"/>
      <c r="DJ57" s="4"/>
      <c r="DK57" s="4"/>
      <c r="DL57" s="4"/>
      <c r="DM57" s="4"/>
      <c r="DN57" s="4"/>
      <c r="DO57" s="4"/>
      <c r="DP57" s="4"/>
      <c r="DQ57" s="4"/>
      <c r="DR57" s="4"/>
      <c r="DS57" s="4"/>
      <c r="DT57" s="4"/>
      <c r="DU57" s="4"/>
      <c r="DV57" s="4"/>
      <c r="DW57" s="4"/>
      <c r="DX57" s="4"/>
      <c r="DY57" s="4"/>
      <c r="DZ57" s="4"/>
      <c r="EA57" s="4"/>
      <c r="EB57" s="4"/>
      <c r="EC57" s="4"/>
      <c r="ED57" s="4"/>
    </row>
    <row r="58" spans="2:134" ht="30" customHeight="1" thickBot="1" x14ac:dyDescent="0.35">
      <c r="B58" s="27" t="s">
        <v>82</v>
      </c>
      <c r="C58" s="12" t="s">
        <v>38</v>
      </c>
      <c r="D58" s="28"/>
      <c r="E58" s="47"/>
      <c r="F58" s="48"/>
      <c r="G58" s="29"/>
      <c r="H58" s="29" t="str">
        <f t="shared" si="73"/>
        <v/>
      </c>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c r="AP58" s="4"/>
      <c r="AQ58" s="4"/>
      <c r="AR58" s="4"/>
      <c r="AS58" s="4"/>
      <c r="AT58" s="4"/>
      <c r="AU58" s="4"/>
      <c r="AV58" s="4"/>
      <c r="AW58" s="4"/>
      <c r="AX58" s="4"/>
      <c r="AY58" s="4"/>
      <c r="AZ58" s="4"/>
      <c r="BA58" s="4"/>
      <c r="BB58" s="4"/>
      <c r="BC58" s="4"/>
      <c r="BD58" s="4"/>
      <c r="BE58" s="4"/>
      <c r="BF58" s="4"/>
      <c r="BG58" s="4"/>
      <c r="BH58" s="4"/>
      <c r="BI58" s="4"/>
      <c r="BJ58" s="4"/>
      <c r="BK58" s="4"/>
      <c r="BL58" s="4"/>
      <c r="BM58" s="4"/>
      <c r="BN58" s="4"/>
      <c r="BO58" s="4"/>
      <c r="BP58" s="4"/>
      <c r="BQ58" s="4"/>
      <c r="BR58" s="4"/>
      <c r="BS58" s="4"/>
      <c r="BT58" s="4"/>
      <c r="BU58" s="4"/>
      <c r="BV58" s="4"/>
      <c r="BW58" s="4"/>
      <c r="BX58" s="4"/>
      <c r="BY58" s="4"/>
      <c r="BZ58" s="4"/>
      <c r="CA58" s="4"/>
      <c r="CB58" s="4"/>
      <c r="CC58" s="4"/>
      <c r="CD58" s="4"/>
      <c r="CE58" s="4"/>
      <c r="CF58" s="4"/>
      <c r="CG58" s="4"/>
      <c r="CH58" s="4"/>
      <c r="CI58" s="4"/>
      <c r="CJ58" s="4"/>
      <c r="CK58" s="4"/>
      <c r="CL58" s="4"/>
      <c r="CM58" s="4"/>
      <c r="CN58" s="4"/>
      <c r="CO58" s="4"/>
      <c r="CP58" s="4"/>
      <c r="CQ58" s="4"/>
      <c r="CR58" s="4"/>
      <c r="CS58" s="4"/>
      <c r="CT58" s="4"/>
      <c r="CU58" s="4"/>
      <c r="CV58" s="4"/>
      <c r="CW58" s="4"/>
      <c r="CX58" s="4"/>
      <c r="CY58" s="4"/>
      <c r="CZ58" s="4"/>
      <c r="DA58" s="4"/>
      <c r="DB58" s="4"/>
      <c r="DC58" s="4"/>
      <c r="DD58" s="4"/>
      <c r="DE58" s="4"/>
      <c r="DF58" s="4"/>
      <c r="DG58" s="4"/>
      <c r="DH58" s="4"/>
      <c r="DI58" s="4"/>
      <c r="DJ58" s="4"/>
      <c r="DK58" s="4"/>
      <c r="DL58" s="4"/>
      <c r="DM58" s="4"/>
      <c r="DN58" s="4"/>
      <c r="DO58" s="4"/>
      <c r="DP58" s="4"/>
      <c r="DQ58" s="4"/>
      <c r="DR58" s="4"/>
      <c r="DS58" s="4"/>
      <c r="DT58" s="4"/>
      <c r="DU58" s="4"/>
      <c r="DV58" s="4"/>
      <c r="DW58" s="4"/>
      <c r="DX58" s="4"/>
      <c r="DY58" s="4"/>
      <c r="DZ58" s="4"/>
      <c r="EA58" s="4"/>
      <c r="EB58" s="4"/>
      <c r="EC58" s="4"/>
      <c r="ED58" s="4"/>
    </row>
    <row r="59" spans="2:134" ht="30" customHeight="1" thickBot="1" x14ac:dyDescent="0.35">
      <c r="B59" s="62" t="s">
        <v>83</v>
      </c>
      <c r="C59" s="13" t="s">
        <v>38</v>
      </c>
      <c r="D59" s="30">
        <v>0</v>
      </c>
      <c r="E59" s="49">
        <f>F57</f>
        <v>46330</v>
      </c>
      <c r="F59" s="49">
        <f>E59</f>
        <v>46330</v>
      </c>
      <c r="G59" s="29"/>
      <c r="H59" s="29">
        <f t="shared" si="73"/>
        <v>1</v>
      </c>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c r="AP59" s="4"/>
      <c r="AQ59" s="4"/>
      <c r="AR59" s="4"/>
      <c r="AS59" s="4"/>
      <c r="AT59" s="4"/>
      <c r="AU59" s="4"/>
      <c r="AV59" s="4"/>
      <c r="AW59" s="4"/>
      <c r="AX59" s="4"/>
      <c r="AY59" s="4"/>
      <c r="AZ59" s="4"/>
      <c r="BA59" s="4"/>
      <c r="BB59" s="4"/>
      <c r="BC59" s="4"/>
      <c r="BD59" s="4"/>
      <c r="BE59" s="4"/>
      <c r="BF59" s="4"/>
      <c r="BG59" s="4"/>
      <c r="BH59" s="4"/>
      <c r="BI59" s="4"/>
      <c r="BJ59" s="4"/>
      <c r="BK59" s="4"/>
      <c r="BL59" s="4"/>
      <c r="BM59" s="4"/>
      <c r="BN59" s="4"/>
      <c r="BO59" s="4"/>
      <c r="BP59" s="4"/>
      <c r="BQ59" s="4"/>
      <c r="BR59" s="4"/>
      <c r="BS59" s="4"/>
      <c r="BT59" s="4"/>
      <c r="BU59" s="4"/>
      <c r="BV59" s="4"/>
      <c r="BW59" s="4"/>
      <c r="BX59" s="4"/>
      <c r="BY59" s="4"/>
      <c r="BZ59" s="4"/>
      <c r="CA59" s="4"/>
      <c r="CB59" s="4"/>
      <c r="CC59" s="4"/>
      <c r="CD59" s="4"/>
      <c r="CE59" s="4"/>
      <c r="CF59" s="4"/>
      <c r="CG59" s="4"/>
      <c r="CH59" s="4"/>
      <c r="CI59" s="4"/>
      <c r="CJ59" s="4"/>
      <c r="CK59" s="4"/>
      <c r="CL59" s="4"/>
      <c r="CM59" s="4"/>
      <c r="CN59" s="4"/>
      <c r="CO59" s="4"/>
      <c r="CP59" s="4"/>
      <c r="CQ59" s="4"/>
      <c r="CR59" s="4"/>
      <c r="CS59" s="4"/>
      <c r="CT59" s="4"/>
      <c r="CU59" s="4"/>
      <c r="CV59" s="4"/>
      <c r="CW59" s="4"/>
      <c r="CX59" s="4"/>
      <c r="CY59" s="4"/>
      <c r="CZ59" s="4"/>
      <c r="DA59" s="4"/>
      <c r="DB59" s="4"/>
      <c r="DC59" s="4"/>
      <c r="DD59" s="4"/>
      <c r="DE59" s="4"/>
      <c r="DF59" s="4"/>
      <c r="DG59" s="4"/>
      <c r="DH59" s="4"/>
      <c r="DI59" s="4"/>
      <c r="DJ59" s="4"/>
      <c r="DK59" s="4"/>
      <c r="DL59" s="4"/>
      <c r="DM59" s="4"/>
      <c r="DN59" s="4"/>
      <c r="DO59" s="4"/>
      <c r="DP59" s="4"/>
      <c r="DQ59" s="4"/>
      <c r="DR59" s="4"/>
      <c r="DS59" s="4"/>
      <c r="DT59" s="4"/>
      <c r="DU59" s="4"/>
      <c r="DV59" s="4"/>
      <c r="DW59" s="4"/>
      <c r="DX59" s="4"/>
      <c r="DY59" s="4"/>
      <c r="DZ59" s="4"/>
      <c r="EA59" s="4"/>
      <c r="EB59" s="4"/>
      <c r="EC59" s="4"/>
      <c r="ED59" s="4"/>
    </row>
    <row r="60" spans="2:134" ht="30" customHeight="1" thickBot="1" x14ac:dyDescent="0.35">
      <c r="B60" s="62" t="s">
        <v>84</v>
      </c>
      <c r="C60" s="13" t="s">
        <v>38</v>
      </c>
      <c r="D60" s="30">
        <v>0</v>
      </c>
      <c r="E60" s="49">
        <f>F59</f>
        <v>46330</v>
      </c>
      <c r="F60" s="49">
        <f>E60</f>
        <v>46330</v>
      </c>
      <c r="G60" s="29"/>
      <c r="H60" s="29">
        <f t="shared" si="73"/>
        <v>1</v>
      </c>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c r="AP60" s="4"/>
      <c r="AQ60" s="4"/>
      <c r="AR60" s="4"/>
      <c r="AS60" s="4"/>
      <c r="AT60" s="4"/>
      <c r="AU60" s="4"/>
      <c r="AV60" s="4"/>
      <c r="AW60" s="4"/>
      <c r="AX60" s="4"/>
      <c r="AY60" s="4"/>
      <c r="AZ60" s="4"/>
      <c r="BA60" s="4"/>
      <c r="BB60" s="4"/>
      <c r="BC60" s="4"/>
      <c r="BD60" s="4"/>
      <c r="BE60" s="4"/>
      <c r="BF60" s="4"/>
      <c r="BG60" s="4"/>
      <c r="BH60" s="4"/>
      <c r="BI60" s="4"/>
      <c r="BJ60" s="4"/>
      <c r="BK60" s="4"/>
      <c r="BL60" s="4"/>
      <c r="BM60" s="4"/>
      <c r="BN60" s="4"/>
      <c r="BO60" s="4"/>
      <c r="BP60" s="4"/>
      <c r="BQ60" s="4"/>
      <c r="BR60" s="4"/>
      <c r="BS60" s="4"/>
      <c r="BT60" s="4"/>
      <c r="BU60" s="4"/>
      <c r="BV60" s="4"/>
      <c r="BW60" s="4"/>
      <c r="BX60" s="4"/>
      <c r="BY60" s="4"/>
      <c r="BZ60" s="4"/>
      <c r="CA60" s="4"/>
      <c r="CB60" s="4"/>
      <c r="CC60" s="4"/>
      <c r="CD60" s="4"/>
      <c r="CE60" s="4"/>
      <c r="CF60" s="4"/>
      <c r="CG60" s="4"/>
      <c r="CH60" s="4"/>
      <c r="CI60" s="4"/>
      <c r="CJ60" s="4"/>
      <c r="CK60" s="4"/>
      <c r="CL60" s="4"/>
      <c r="CM60" s="4"/>
      <c r="CN60" s="4"/>
      <c r="CO60" s="4"/>
      <c r="CP60" s="4"/>
      <c r="CQ60" s="4"/>
      <c r="CR60" s="4"/>
      <c r="CS60" s="4"/>
      <c r="CT60" s="4"/>
      <c r="CU60" s="4"/>
      <c r="CV60" s="4"/>
      <c r="CW60" s="4"/>
      <c r="CX60" s="4"/>
      <c r="CY60" s="4"/>
      <c r="CZ60" s="4"/>
      <c r="DA60" s="4"/>
      <c r="DB60" s="4"/>
      <c r="DC60" s="4"/>
      <c r="DD60" s="4"/>
      <c r="DE60" s="4"/>
      <c r="DF60" s="4"/>
      <c r="DG60" s="4"/>
      <c r="DH60" s="4"/>
      <c r="DI60" s="4"/>
      <c r="DJ60" s="4"/>
      <c r="DK60" s="4"/>
      <c r="DL60" s="4"/>
      <c r="DM60" s="4"/>
      <c r="DN60" s="4"/>
      <c r="DO60" s="4"/>
      <c r="DP60" s="4"/>
      <c r="DQ60" s="4"/>
      <c r="DR60" s="4"/>
      <c r="DS60" s="4"/>
      <c r="DT60" s="4"/>
      <c r="DU60" s="4"/>
      <c r="DV60" s="4"/>
      <c r="DW60" s="4"/>
      <c r="DX60" s="4"/>
      <c r="DY60" s="4"/>
      <c r="DZ60" s="4"/>
      <c r="EA60" s="4"/>
      <c r="EB60" s="4"/>
      <c r="EC60" s="4"/>
      <c r="ED60" s="4"/>
    </row>
    <row r="61" spans="2:134" ht="30" customHeight="1" thickBot="1" x14ac:dyDescent="0.35">
      <c r="B61" s="62" t="s">
        <v>86</v>
      </c>
      <c r="C61" s="13" t="s">
        <v>38</v>
      </c>
      <c r="D61" s="30">
        <v>0</v>
      </c>
      <c r="E61" s="49">
        <f>F59</f>
        <v>46330</v>
      </c>
      <c r="F61" s="49">
        <f>E61+2</f>
        <v>46332</v>
      </c>
      <c r="G61" s="29"/>
      <c r="H61" s="29">
        <f t="shared" si="73"/>
        <v>3</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c r="BA61" s="4"/>
      <c r="BB61" s="4"/>
      <c r="BC61" s="4"/>
      <c r="BD61" s="4"/>
      <c r="BE61" s="4"/>
      <c r="BF61" s="4"/>
      <c r="BG61" s="4"/>
      <c r="BH61" s="4"/>
      <c r="BI61" s="4"/>
      <c r="BJ61" s="4"/>
      <c r="BK61" s="4"/>
      <c r="BL61" s="4"/>
      <c r="BM61" s="4"/>
      <c r="BN61" s="4"/>
      <c r="BO61" s="4"/>
      <c r="BP61" s="4"/>
      <c r="BQ61" s="4"/>
      <c r="BR61" s="4"/>
      <c r="BS61" s="4"/>
      <c r="BT61" s="4"/>
      <c r="BU61" s="4"/>
      <c r="BV61" s="4"/>
      <c r="BW61" s="4"/>
      <c r="BX61" s="4"/>
      <c r="BY61" s="4"/>
      <c r="BZ61" s="4"/>
      <c r="CA61" s="4"/>
      <c r="CB61" s="4"/>
      <c r="CC61" s="4"/>
      <c r="CD61" s="4"/>
      <c r="CE61" s="4"/>
      <c r="CF61" s="4"/>
      <c r="CG61" s="4"/>
      <c r="CH61" s="4"/>
      <c r="CI61" s="4"/>
      <c r="CJ61" s="4"/>
      <c r="CK61" s="4"/>
      <c r="CL61" s="4"/>
      <c r="CM61" s="4"/>
      <c r="CN61" s="4"/>
      <c r="CO61" s="4"/>
      <c r="CP61" s="4"/>
      <c r="CQ61" s="4"/>
      <c r="CR61" s="4"/>
      <c r="CS61" s="4"/>
      <c r="CT61" s="4"/>
      <c r="CU61" s="4"/>
      <c r="CV61" s="4"/>
      <c r="CW61" s="4"/>
      <c r="CX61" s="4"/>
      <c r="CY61" s="4"/>
      <c r="CZ61" s="4"/>
      <c r="DA61" s="4"/>
      <c r="DB61" s="4"/>
      <c r="DC61" s="4"/>
      <c r="DD61" s="4"/>
      <c r="DE61" s="4"/>
      <c r="DF61" s="4"/>
      <c r="DG61" s="4"/>
      <c r="DH61" s="4"/>
      <c r="DI61" s="4"/>
      <c r="DJ61" s="4"/>
      <c r="DK61" s="4"/>
      <c r="DL61" s="4"/>
      <c r="DM61" s="4"/>
      <c r="DN61" s="4"/>
      <c r="DO61" s="4"/>
      <c r="DP61" s="4"/>
      <c r="DQ61" s="4"/>
      <c r="DR61" s="4"/>
      <c r="DS61" s="4"/>
      <c r="DT61" s="4"/>
      <c r="DU61" s="4"/>
      <c r="DV61" s="4"/>
      <c r="DW61" s="4"/>
      <c r="DX61" s="4"/>
      <c r="DY61" s="4"/>
      <c r="DZ61" s="4"/>
      <c r="EA61" s="4"/>
      <c r="EB61" s="4"/>
      <c r="EC61" s="4"/>
      <c r="ED61" s="4"/>
    </row>
    <row r="62" spans="2:134" ht="30" customHeight="1" thickBot="1" x14ac:dyDescent="0.35">
      <c r="B62" s="62" t="s">
        <v>85</v>
      </c>
      <c r="C62" s="13" t="s">
        <v>38</v>
      </c>
      <c r="D62" s="30">
        <v>0</v>
      </c>
      <c r="E62" s="49">
        <f>F59</f>
        <v>46330</v>
      </c>
      <c r="F62" s="49">
        <f>E62+2</f>
        <v>46332</v>
      </c>
      <c r="G62" s="29"/>
      <c r="H62" s="29">
        <f t="shared" si="73"/>
        <v>3</v>
      </c>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c r="AP62" s="4"/>
      <c r="AQ62" s="4"/>
      <c r="AR62" s="4"/>
      <c r="AS62" s="4"/>
      <c r="AT62" s="4"/>
      <c r="AU62" s="4"/>
      <c r="AV62" s="4"/>
      <c r="AW62" s="4"/>
      <c r="AX62" s="4"/>
      <c r="AY62" s="4"/>
      <c r="AZ62" s="4"/>
      <c r="BA62" s="4"/>
      <c r="BB62" s="4"/>
      <c r="BC62" s="4"/>
      <c r="BD62" s="4"/>
      <c r="BE62" s="4"/>
      <c r="BF62" s="4"/>
      <c r="BG62" s="4"/>
      <c r="BH62" s="4"/>
      <c r="BI62" s="4"/>
      <c r="BJ62" s="4"/>
      <c r="BK62" s="4"/>
      <c r="BL62" s="4"/>
      <c r="BM62" s="4"/>
      <c r="BN62" s="4"/>
      <c r="BO62" s="4"/>
      <c r="BP62" s="4"/>
      <c r="BQ62" s="4"/>
      <c r="BR62" s="4"/>
      <c r="BS62" s="4"/>
      <c r="BT62" s="4"/>
      <c r="BU62" s="4"/>
      <c r="BV62" s="4"/>
      <c r="BW62" s="4"/>
      <c r="BX62" s="4"/>
      <c r="BY62" s="4"/>
      <c r="BZ62" s="4"/>
      <c r="CA62" s="4"/>
      <c r="CB62" s="4"/>
      <c r="CC62" s="4"/>
      <c r="CD62" s="4"/>
      <c r="CE62" s="4"/>
      <c r="CF62" s="4"/>
      <c r="CG62" s="4"/>
      <c r="CH62" s="4"/>
      <c r="CI62" s="4"/>
      <c r="CJ62" s="4"/>
      <c r="CK62" s="4"/>
      <c r="CL62" s="4"/>
      <c r="CM62" s="4"/>
      <c r="CN62" s="4"/>
      <c r="CO62" s="4"/>
      <c r="CP62" s="4"/>
      <c r="CQ62" s="4"/>
      <c r="CR62" s="4"/>
      <c r="CS62" s="4"/>
      <c r="CT62" s="4"/>
      <c r="CU62" s="4"/>
      <c r="CV62" s="4"/>
      <c r="CW62" s="4"/>
      <c r="CX62" s="4"/>
      <c r="CY62" s="4"/>
      <c r="CZ62" s="4"/>
      <c r="DA62" s="4"/>
      <c r="DB62" s="4"/>
      <c r="DC62" s="4"/>
      <c r="DD62" s="4"/>
      <c r="DE62" s="4"/>
      <c r="DF62" s="4"/>
      <c r="DG62" s="4"/>
      <c r="DH62" s="4"/>
      <c r="DI62" s="4"/>
      <c r="DJ62" s="4"/>
      <c r="DK62" s="4"/>
      <c r="DL62" s="4"/>
      <c r="DM62" s="4"/>
      <c r="DN62" s="4"/>
      <c r="DO62" s="4"/>
      <c r="DP62" s="4"/>
      <c r="DQ62" s="4"/>
      <c r="DR62" s="4"/>
      <c r="DS62" s="4"/>
      <c r="DT62" s="4"/>
      <c r="DU62" s="4"/>
      <c r="DV62" s="4"/>
      <c r="DW62" s="4"/>
      <c r="DX62" s="4"/>
      <c r="DY62" s="4"/>
      <c r="DZ62" s="4"/>
      <c r="EA62" s="4"/>
      <c r="EB62" s="4"/>
      <c r="EC62" s="4"/>
      <c r="ED62" s="4"/>
    </row>
    <row r="63" spans="2:134" ht="30" customHeight="1" thickBot="1" x14ac:dyDescent="0.35">
      <c r="B63" s="57" t="s">
        <v>77</v>
      </c>
      <c r="C63" s="54" t="s">
        <v>38</v>
      </c>
      <c r="D63" s="55"/>
      <c r="E63" s="56"/>
      <c r="F63" s="56"/>
      <c r="G63" s="29"/>
      <c r="H63" s="29" t="str">
        <f t="shared" si="73"/>
        <v/>
      </c>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c r="AP63" s="4"/>
      <c r="AQ63" s="4"/>
      <c r="AR63" s="4"/>
      <c r="AS63" s="4"/>
      <c r="AT63" s="4"/>
      <c r="AU63" s="4"/>
      <c r="AV63" s="4"/>
      <c r="AW63" s="4"/>
      <c r="AX63" s="4"/>
      <c r="AY63" s="4"/>
      <c r="AZ63" s="4"/>
      <c r="BA63" s="4"/>
      <c r="BB63" s="4"/>
      <c r="BC63" s="4"/>
      <c r="BD63" s="4"/>
      <c r="BE63" s="4"/>
      <c r="BF63" s="4"/>
      <c r="BG63" s="4"/>
      <c r="BH63" s="4"/>
      <c r="BI63" s="4"/>
      <c r="BJ63" s="4"/>
      <c r="BK63" s="4"/>
      <c r="BL63" s="4"/>
      <c r="BM63" s="4"/>
      <c r="BN63" s="4"/>
      <c r="BO63" s="4"/>
      <c r="BP63" s="4"/>
      <c r="BQ63" s="4"/>
      <c r="BR63" s="4"/>
      <c r="BS63" s="4"/>
      <c r="BT63" s="4"/>
      <c r="BU63" s="4"/>
      <c r="BV63" s="4"/>
      <c r="BW63" s="4"/>
      <c r="BX63" s="4"/>
      <c r="BY63" s="4"/>
      <c r="BZ63" s="4"/>
      <c r="CA63" s="4"/>
      <c r="CB63" s="4"/>
      <c r="CC63" s="4"/>
      <c r="CD63" s="4"/>
      <c r="CE63" s="4"/>
      <c r="CF63" s="4"/>
      <c r="CG63" s="4"/>
      <c r="CH63" s="4"/>
      <c r="CI63" s="4"/>
      <c r="CJ63" s="4"/>
      <c r="CK63" s="4"/>
      <c r="CL63" s="4"/>
      <c r="CM63" s="4"/>
      <c r="CN63" s="4"/>
      <c r="CO63" s="4"/>
      <c r="CP63" s="4"/>
      <c r="CQ63" s="4"/>
      <c r="CR63" s="4"/>
      <c r="CS63" s="4"/>
      <c r="CT63" s="4"/>
      <c r="CU63" s="4"/>
      <c r="CV63" s="4"/>
      <c r="CW63" s="4"/>
      <c r="CX63" s="4"/>
      <c r="CY63" s="4"/>
      <c r="CZ63" s="4"/>
      <c r="DA63" s="4"/>
      <c r="DB63" s="4"/>
      <c r="DC63" s="4"/>
      <c r="DD63" s="4"/>
      <c r="DE63" s="4"/>
      <c r="DF63" s="4"/>
      <c r="DG63" s="4"/>
      <c r="DH63" s="4"/>
      <c r="DI63" s="4"/>
      <c r="DJ63" s="4"/>
      <c r="DK63" s="4"/>
      <c r="DL63" s="4"/>
      <c r="DM63" s="4"/>
      <c r="DN63" s="4"/>
      <c r="DO63" s="4"/>
      <c r="DP63" s="4"/>
      <c r="DQ63" s="4"/>
      <c r="DR63" s="4"/>
      <c r="DS63" s="4"/>
      <c r="DT63" s="4"/>
      <c r="DU63" s="4"/>
      <c r="DV63" s="4"/>
      <c r="DW63" s="4"/>
      <c r="DX63" s="4"/>
      <c r="DY63" s="4"/>
      <c r="DZ63" s="4"/>
      <c r="EA63" s="4"/>
      <c r="EB63" s="4"/>
      <c r="EC63" s="4"/>
      <c r="ED63" s="4"/>
    </row>
    <row r="64" spans="2:134" ht="30" customHeight="1" thickBot="1" x14ac:dyDescent="0.35">
      <c r="B64" s="27" t="s">
        <v>230</v>
      </c>
      <c r="C64" s="12" t="s">
        <v>38</v>
      </c>
      <c r="D64" s="28"/>
      <c r="E64" s="47"/>
      <c r="F64" s="48"/>
      <c r="G64" s="29"/>
      <c r="H64" s="29" t="str">
        <f t="shared" si="73"/>
        <v/>
      </c>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c r="AP64" s="4"/>
      <c r="AQ64" s="4"/>
      <c r="AR64" s="4"/>
      <c r="AS64" s="4"/>
      <c r="AT64" s="4"/>
      <c r="AU64" s="4"/>
      <c r="AV64" s="4"/>
      <c r="AW64" s="4"/>
      <c r="AX64" s="4"/>
      <c r="AY64" s="4"/>
      <c r="AZ64" s="4"/>
      <c r="BA64" s="4"/>
      <c r="BB64" s="4"/>
      <c r="BC64" s="4"/>
      <c r="BD64" s="4"/>
      <c r="BE64" s="4"/>
      <c r="BF64" s="4"/>
      <c r="BG64" s="4"/>
      <c r="BH64" s="4"/>
      <c r="BI64" s="4"/>
      <c r="BJ64" s="4"/>
      <c r="BK64" s="4"/>
      <c r="BL64" s="4"/>
      <c r="BM64" s="4"/>
      <c r="BN64" s="4"/>
      <c r="BO64" s="4"/>
      <c r="BP64" s="4"/>
      <c r="BQ64" s="4"/>
      <c r="BR64" s="4"/>
      <c r="BS64" s="4"/>
      <c r="BT64" s="4"/>
      <c r="BU64" s="4"/>
      <c r="BV64" s="4"/>
      <c r="BW64" s="4"/>
      <c r="BX64" s="4"/>
      <c r="BY64" s="4"/>
      <c r="BZ64" s="4"/>
      <c r="CA64" s="4"/>
      <c r="CB64" s="4"/>
      <c r="CC64" s="4"/>
      <c r="CD64" s="4"/>
      <c r="CE64" s="4"/>
      <c r="CF64" s="4"/>
      <c r="CG64" s="4"/>
      <c r="CH64" s="4"/>
      <c r="CI64" s="4"/>
      <c r="CJ64" s="4"/>
      <c r="CK64" s="4"/>
      <c r="CL64" s="4"/>
      <c r="CM64" s="4"/>
      <c r="CN64" s="4"/>
      <c r="CO64" s="4"/>
      <c r="CP64" s="4"/>
      <c r="CQ64" s="4"/>
      <c r="CR64" s="4"/>
      <c r="CS64" s="4"/>
      <c r="CT64" s="4"/>
      <c r="CU64" s="4"/>
      <c r="CV64" s="4"/>
      <c r="CW64" s="4"/>
      <c r="CX64" s="4"/>
      <c r="CY64" s="4"/>
      <c r="CZ64" s="4"/>
      <c r="DA64" s="4"/>
      <c r="DB64" s="4"/>
      <c r="DC64" s="4"/>
      <c r="DD64" s="4"/>
      <c r="DE64" s="4"/>
      <c r="DF64" s="4"/>
      <c r="DG64" s="4"/>
      <c r="DH64" s="4"/>
      <c r="DI64" s="4"/>
      <c r="DJ64" s="4"/>
      <c r="DK64" s="4"/>
      <c r="DL64" s="4"/>
      <c r="DM64" s="4"/>
      <c r="DN64" s="4"/>
      <c r="DO64" s="4"/>
      <c r="DP64" s="4"/>
      <c r="DQ64" s="4"/>
      <c r="DR64" s="4"/>
      <c r="DS64" s="4"/>
      <c r="DT64" s="4"/>
      <c r="DU64" s="4"/>
      <c r="DV64" s="4"/>
      <c r="DW64" s="4"/>
      <c r="DX64" s="4"/>
      <c r="DY64" s="4"/>
      <c r="DZ64" s="4"/>
      <c r="EA64" s="4"/>
      <c r="EB64" s="4"/>
      <c r="EC64" s="4"/>
      <c r="ED64" s="4"/>
    </row>
    <row r="65" spans="2:134" ht="30" customHeight="1" thickBot="1" x14ac:dyDescent="0.35">
      <c r="B65" s="77" t="s">
        <v>228</v>
      </c>
      <c r="C65" s="13" t="s">
        <v>38</v>
      </c>
      <c r="D65" s="30">
        <v>0</v>
      </c>
      <c r="E65" s="49">
        <f>F62+3</f>
        <v>46335</v>
      </c>
      <c r="F65" s="49">
        <f>E65</f>
        <v>46335</v>
      </c>
      <c r="G65" s="29"/>
      <c r="H65" s="29">
        <f t="shared" si="73"/>
        <v>1</v>
      </c>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c r="AP65" s="4"/>
      <c r="AQ65" s="4"/>
      <c r="AR65" s="4"/>
      <c r="AS65" s="4"/>
      <c r="AT65" s="4"/>
      <c r="AU65" s="4"/>
      <c r="AV65" s="4"/>
      <c r="AW65" s="4"/>
      <c r="AX65" s="4"/>
      <c r="AY65" s="4"/>
      <c r="AZ65" s="4"/>
      <c r="BA65" s="4"/>
      <c r="BB65" s="4"/>
      <c r="BC65" s="4"/>
      <c r="BD65" s="4"/>
      <c r="BE65" s="4"/>
      <c r="BF65" s="4"/>
      <c r="BG65" s="4"/>
      <c r="BH65" s="4"/>
      <c r="BI65" s="4"/>
      <c r="BJ65" s="4"/>
      <c r="BK65" s="4"/>
      <c r="BL65" s="4"/>
      <c r="BM65" s="4"/>
      <c r="BN65" s="4"/>
      <c r="BO65" s="4"/>
      <c r="BP65" s="4"/>
      <c r="BQ65" s="4"/>
      <c r="BR65" s="4"/>
      <c r="BS65" s="4"/>
      <c r="BT65" s="4"/>
      <c r="BU65" s="4"/>
      <c r="BV65" s="4"/>
      <c r="BW65" s="4"/>
      <c r="BX65" s="4"/>
      <c r="BY65" s="4"/>
      <c r="BZ65" s="4"/>
      <c r="CA65" s="4"/>
      <c r="CB65" s="4"/>
      <c r="CC65" s="4"/>
      <c r="CD65" s="4"/>
      <c r="CE65" s="4"/>
      <c r="CF65" s="4"/>
      <c r="CG65" s="4"/>
      <c r="CH65" s="4"/>
      <c r="CI65" s="4"/>
      <c r="CJ65" s="4"/>
      <c r="CK65" s="4"/>
      <c r="CL65" s="4"/>
      <c r="CM65" s="4"/>
      <c r="CN65" s="4"/>
      <c r="CO65" s="4"/>
      <c r="CP65" s="4"/>
      <c r="CQ65" s="4"/>
      <c r="CR65" s="4"/>
      <c r="CS65" s="4"/>
      <c r="CT65" s="4"/>
      <c r="CU65" s="4"/>
      <c r="CV65" s="4"/>
      <c r="CW65" s="4"/>
      <c r="CX65" s="4"/>
      <c r="CY65" s="4"/>
      <c r="CZ65" s="4"/>
      <c r="DA65" s="4"/>
      <c r="DB65" s="4"/>
      <c r="DC65" s="4"/>
      <c r="DD65" s="4"/>
      <c r="DE65" s="4"/>
      <c r="DF65" s="4"/>
      <c r="DG65" s="4"/>
      <c r="DH65" s="4"/>
      <c r="DI65" s="4"/>
      <c r="DJ65" s="4"/>
      <c r="DK65" s="4"/>
      <c r="DL65" s="4"/>
      <c r="DM65" s="4"/>
      <c r="DN65" s="4"/>
      <c r="DO65" s="4"/>
      <c r="DP65" s="4"/>
      <c r="DQ65" s="4"/>
      <c r="DR65" s="4"/>
      <c r="DS65" s="4"/>
      <c r="DT65" s="4"/>
      <c r="DU65" s="4"/>
      <c r="DV65" s="4"/>
      <c r="DW65" s="4"/>
      <c r="DX65" s="4"/>
      <c r="DY65" s="4"/>
      <c r="DZ65" s="4"/>
      <c r="EA65" s="4"/>
      <c r="EB65" s="4"/>
      <c r="EC65" s="4"/>
      <c r="ED65" s="4"/>
    </row>
    <row r="66" spans="2:134" ht="30" customHeight="1" thickBot="1" x14ac:dyDescent="0.35">
      <c r="B66" s="77" t="s">
        <v>229</v>
      </c>
      <c r="C66" s="13" t="s">
        <v>38</v>
      </c>
      <c r="D66" s="30">
        <v>0</v>
      </c>
      <c r="E66" s="49">
        <f>F65</f>
        <v>46335</v>
      </c>
      <c r="F66" s="49">
        <f>E66</f>
        <v>46335</v>
      </c>
      <c r="G66" s="29"/>
      <c r="H66" s="29">
        <f t="shared" si="73"/>
        <v>1</v>
      </c>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c r="AP66" s="4"/>
      <c r="AQ66" s="4"/>
      <c r="AR66" s="4"/>
      <c r="AS66" s="4"/>
      <c r="AT66" s="4"/>
      <c r="AU66" s="4"/>
      <c r="AV66" s="4"/>
      <c r="AW66" s="4"/>
      <c r="AX66" s="4"/>
      <c r="AY66" s="4"/>
      <c r="AZ66" s="4"/>
      <c r="BA66" s="4"/>
      <c r="BB66" s="4"/>
      <c r="BC66" s="4"/>
      <c r="BD66" s="4"/>
      <c r="BE66" s="4"/>
      <c r="BF66" s="4"/>
      <c r="BG66" s="4"/>
      <c r="BH66" s="4"/>
      <c r="BI66" s="4"/>
      <c r="BJ66" s="4"/>
      <c r="BK66" s="4"/>
      <c r="BL66" s="4"/>
      <c r="BM66" s="4"/>
      <c r="BN66" s="4"/>
      <c r="BO66" s="4"/>
      <c r="BP66" s="4"/>
      <c r="BQ66" s="4"/>
      <c r="BR66" s="4"/>
      <c r="BS66" s="4"/>
      <c r="BT66" s="4"/>
      <c r="BU66" s="4"/>
      <c r="BV66" s="4"/>
      <c r="BW66" s="4"/>
      <c r="BX66" s="4"/>
      <c r="BY66" s="4"/>
      <c r="BZ66" s="4"/>
      <c r="CA66" s="4"/>
      <c r="CB66" s="4"/>
      <c r="CC66" s="4"/>
      <c r="CD66" s="4"/>
      <c r="CE66" s="4"/>
      <c r="CF66" s="4"/>
      <c r="CG66" s="4"/>
      <c r="CH66" s="4"/>
      <c r="CI66" s="4"/>
      <c r="CJ66" s="4"/>
      <c r="CK66" s="4"/>
      <c r="CL66" s="4"/>
      <c r="CM66" s="4"/>
      <c r="CN66" s="4"/>
      <c r="CO66" s="4"/>
      <c r="CP66" s="4"/>
      <c r="CQ66" s="4"/>
      <c r="CR66" s="4"/>
      <c r="CS66" s="4"/>
      <c r="CT66" s="4"/>
      <c r="CU66" s="4"/>
      <c r="CV66" s="4"/>
      <c r="CW66" s="4"/>
      <c r="CX66" s="4"/>
      <c r="CY66" s="4"/>
      <c r="CZ66" s="4"/>
      <c r="DA66" s="4"/>
      <c r="DB66" s="4"/>
      <c r="DC66" s="4"/>
      <c r="DD66" s="4"/>
      <c r="DE66" s="4"/>
      <c r="DF66" s="4"/>
      <c r="DG66" s="4"/>
      <c r="DH66" s="4"/>
      <c r="DI66" s="4"/>
      <c r="DJ66" s="4"/>
      <c r="DK66" s="4"/>
      <c r="DL66" s="4"/>
      <c r="DM66" s="4"/>
      <c r="DN66" s="4"/>
      <c r="DO66" s="4"/>
      <c r="DP66" s="4"/>
      <c r="DQ66" s="4"/>
      <c r="DR66" s="4"/>
      <c r="DS66" s="4"/>
      <c r="DT66" s="4"/>
      <c r="DU66" s="4"/>
      <c r="DV66" s="4"/>
      <c r="DW66" s="4"/>
      <c r="DX66" s="4"/>
      <c r="DY66" s="4"/>
      <c r="DZ66" s="4"/>
      <c r="EA66" s="4"/>
      <c r="EB66" s="4"/>
      <c r="EC66" s="4"/>
      <c r="ED66" s="4"/>
    </row>
    <row r="67" spans="2:134" ht="30" customHeight="1" thickBot="1" x14ac:dyDescent="0.35">
      <c r="B67" s="77" t="s">
        <v>233</v>
      </c>
      <c r="C67" s="13" t="s">
        <v>38</v>
      </c>
      <c r="D67" s="30">
        <v>0</v>
      </c>
      <c r="E67" s="49">
        <f>F65</f>
        <v>46335</v>
      </c>
      <c r="F67" s="49">
        <f>E67</f>
        <v>46335</v>
      </c>
      <c r="G67" s="29"/>
      <c r="H67" s="29">
        <f t="shared" si="73"/>
        <v>1</v>
      </c>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c r="AP67" s="4"/>
      <c r="AQ67" s="4"/>
      <c r="AR67" s="4"/>
      <c r="AS67" s="4"/>
      <c r="AT67" s="4"/>
      <c r="AU67" s="4"/>
      <c r="AV67" s="4"/>
      <c r="AW67" s="4"/>
      <c r="AX67" s="4"/>
      <c r="AY67" s="4"/>
      <c r="AZ67" s="4"/>
      <c r="BA67" s="4"/>
      <c r="BB67" s="4"/>
      <c r="BC67" s="4"/>
      <c r="BD67" s="4"/>
      <c r="BE67" s="4"/>
      <c r="BF67" s="4"/>
      <c r="BG67" s="4"/>
      <c r="BH67" s="4"/>
      <c r="BI67" s="4"/>
      <c r="BJ67" s="4"/>
      <c r="BK67" s="4"/>
      <c r="BL67" s="4"/>
      <c r="BM67" s="4"/>
      <c r="BN67" s="4"/>
      <c r="BO67" s="4"/>
      <c r="BP67" s="4"/>
      <c r="BQ67" s="4"/>
      <c r="BR67" s="4"/>
      <c r="BS67" s="4"/>
      <c r="BT67" s="4"/>
      <c r="BU67" s="4"/>
      <c r="BV67" s="4"/>
      <c r="BW67" s="4"/>
      <c r="BX67" s="4"/>
      <c r="BY67" s="4"/>
      <c r="BZ67" s="4"/>
      <c r="CA67" s="4"/>
      <c r="CB67" s="4"/>
      <c r="CC67" s="4"/>
      <c r="CD67" s="4"/>
      <c r="CE67" s="4"/>
      <c r="CF67" s="4"/>
      <c r="CG67" s="4"/>
      <c r="CH67" s="4"/>
      <c r="CI67" s="4"/>
      <c r="CJ67" s="4"/>
      <c r="CK67" s="4"/>
      <c r="CL67" s="4"/>
      <c r="CM67" s="4"/>
      <c r="CN67" s="4"/>
      <c r="CO67" s="4"/>
      <c r="CP67" s="4"/>
      <c r="CQ67" s="4"/>
      <c r="CR67" s="4"/>
      <c r="CS67" s="4"/>
      <c r="CT67" s="4"/>
      <c r="CU67" s="4"/>
      <c r="CV67" s="4"/>
      <c r="CW67" s="4"/>
      <c r="CX67" s="4"/>
      <c r="CY67" s="4"/>
      <c r="CZ67" s="4"/>
      <c r="DA67" s="4"/>
      <c r="DB67" s="4"/>
      <c r="DC67" s="4"/>
      <c r="DD67" s="4"/>
      <c r="DE67" s="4"/>
      <c r="DF67" s="4"/>
      <c r="DG67" s="4"/>
      <c r="DH67" s="4"/>
      <c r="DI67" s="4"/>
      <c r="DJ67" s="4"/>
      <c r="DK67" s="4"/>
      <c r="DL67" s="4"/>
      <c r="DM67" s="4"/>
      <c r="DN67" s="4"/>
      <c r="DO67" s="4"/>
      <c r="DP67" s="4"/>
      <c r="DQ67" s="4"/>
      <c r="DR67" s="4"/>
      <c r="DS67" s="4"/>
      <c r="DT67" s="4"/>
      <c r="DU67" s="4"/>
      <c r="DV67" s="4"/>
      <c r="DW67" s="4"/>
      <c r="DX67" s="4"/>
      <c r="DY67" s="4"/>
      <c r="DZ67" s="4"/>
      <c r="EA67" s="4"/>
      <c r="EB67" s="4"/>
      <c r="EC67" s="4"/>
      <c r="ED67" s="4"/>
    </row>
    <row r="68" spans="2:134" ht="30" customHeight="1" thickBot="1" x14ac:dyDescent="0.35">
      <c r="B68" s="27" t="s">
        <v>87</v>
      </c>
      <c r="C68" s="12" t="s">
        <v>38</v>
      </c>
      <c r="D68" s="28"/>
      <c r="E68" s="47"/>
      <c r="F68" s="48"/>
      <c r="G68" s="29"/>
      <c r="H68" s="29" t="str">
        <f t="shared" si="73"/>
        <v/>
      </c>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c r="AP68" s="4"/>
      <c r="AQ68" s="4"/>
      <c r="AR68" s="4"/>
      <c r="AS68" s="4"/>
      <c r="AT68" s="4"/>
      <c r="AU68" s="4"/>
      <c r="AV68" s="4"/>
      <c r="AW68" s="4"/>
      <c r="AX68" s="4"/>
      <c r="AY68" s="4"/>
      <c r="AZ68" s="4"/>
      <c r="BA68" s="4"/>
      <c r="BB68" s="4"/>
      <c r="BC68" s="4"/>
      <c r="BD68" s="4"/>
      <c r="BE68" s="4"/>
      <c r="BF68" s="4"/>
      <c r="BG68" s="4"/>
      <c r="BH68" s="4"/>
      <c r="BI68" s="4"/>
      <c r="BJ68" s="4"/>
      <c r="BK68" s="4"/>
      <c r="BL68" s="4"/>
      <c r="BM68" s="4"/>
      <c r="BN68" s="4"/>
      <c r="BO68" s="4"/>
      <c r="BP68" s="4"/>
      <c r="BQ68" s="4"/>
      <c r="BR68" s="4"/>
      <c r="BS68" s="4"/>
      <c r="BT68" s="4"/>
      <c r="BU68" s="4"/>
      <c r="BV68" s="4"/>
      <c r="BW68" s="4"/>
      <c r="BX68" s="4"/>
      <c r="BY68" s="4"/>
      <c r="BZ68" s="4"/>
      <c r="CA68" s="4"/>
      <c r="CB68" s="4"/>
      <c r="CC68" s="4"/>
      <c r="CD68" s="4"/>
      <c r="CE68" s="4"/>
      <c r="CF68" s="4"/>
      <c r="CG68" s="4"/>
      <c r="CH68" s="4"/>
      <c r="CI68" s="4"/>
      <c r="CJ68" s="4"/>
      <c r="CK68" s="4"/>
      <c r="CL68" s="4"/>
      <c r="CM68" s="4"/>
      <c r="CN68" s="4"/>
      <c r="CO68" s="4"/>
      <c r="CP68" s="4"/>
      <c r="CQ68" s="4"/>
      <c r="CR68" s="4"/>
      <c r="CS68" s="4"/>
      <c r="CT68" s="4"/>
      <c r="CU68" s="4"/>
      <c r="CV68" s="4"/>
      <c r="CW68" s="4"/>
      <c r="CX68" s="4"/>
      <c r="CY68" s="4"/>
      <c r="CZ68" s="4"/>
      <c r="DA68" s="4"/>
      <c r="DB68" s="4"/>
      <c r="DC68" s="4"/>
      <c r="DD68" s="4"/>
      <c r="DE68" s="4"/>
      <c r="DF68" s="4"/>
      <c r="DG68" s="4"/>
      <c r="DH68" s="4"/>
      <c r="DI68" s="4"/>
      <c r="DJ68" s="4"/>
      <c r="DK68" s="4"/>
      <c r="DL68" s="4"/>
      <c r="DM68" s="4"/>
      <c r="DN68" s="4"/>
      <c r="DO68" s="4"/>
      <c r="DP68" s="4"/>
      <c r="DQ68" s="4"/>
      <c r="DR68" s="4"/>
      <c r="DS68" s="4"/>
      <c r="DT68" s="4"/>
      <c r="DU68" s="4"/>
      <c r="DV68" s="4"/>
      <c r="DW68" s="4"/>
      <c r="DX68" s="4"/>
      <c r="DY68" s="4"/>
      <c r="DZ68" s="4"/>
      <c r="EA68" s="4"/>
      <c r="EB68" s="4"/>
      <c r="EC68" s="4"/>
      <c r="ED68" s="4"/>
    </row>
    <row r="69" spans="2:134" ht="30" customHeight="1" thickBot="1" x14ac:dyDescent="0.35">
      <c r="B69" s="62" t="s">
        <v>88</v>
      </c>
      <c r="C69" s="13" t="s">
        <v>38</v>
      </c>
      <c r="D69" s="30">
        <v>0</v>
      </c>
      <c r="E69" s="49">
        <f>F67</f>
        <v>46335</v>
      </c>
      <c r="F69" s="49">
        <f>E69+1</f>
        <v>46336</v>
      </c>
      <c r="G69" s="29"/>
      <c r="H69" s="29">
        <f t="shared" si="73"/>
        <v>2</v>
      </c>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c r="AP69" s="4"/>
      <c r="AQ69" s="4"/>
      <c r="AR69" s="4"/>
      <c r="AS69" s="4"/>
      <c r="AT69" s="4"/>
      <c r="AU69" s="4"/>
      <c r="AV69" s="4"/>
      <c r="AW69" s="4"/>
      <c r="AX69" s="4"/>
      <c r="AY69" s="4"/>
      <c r="AZ69" s="4"/>
      <c r="BA69" s="4"/>
      <c r="BB69" s="4"/>
      <c r="BC69" s="4"/>
      <c r="BD69" s="4"/>
      <c r="BE69" s="4"/>
      <c r="BF69" s="4"/>
      <c r="BG69" s="4"/>
      <c r="BH69" s="4"/>
      <c r="BI69" s="4"/>
      <c r="BJ69" s="4"/>
      <c r="BK69" s="4"/>
      <c r="BL69" s="4"/>
      <c r="BM69" s="4"/>
      <c r="BN69" s="4"/>
      <c r="BO69" s="4"/>
      <c r="BP69" s="4"/>
      <c r="BQ69" s="4"/>
      <c r="BR69" s="4"/>
      <c r="BS69" s="4"/>
      <c r="BT69" s="4"/>
      <c r="BU69" s="4"/>
      <c r="BV69" s="4"/>
      <c r="BW69" s="4"/>
      <c r="BX69" s="4"/>
      <c r="BY69" s="4"/>
      <c r="BZ69" s="4"/>
      <c r="CA69" s="4"/>
      <c r="CB69" s="4"/>
      <c r="CC69" s="4"/>
      <c r="CD69" s="4"/>
      <c r="CE69" s="4"/>
      <c r="CF69" s="4"/>
      <c r="CG69" s="4"/>
      <c r="CH69" s="4"/>
      <c r="CI69" s="4"/>
      <c r="CJ69" s="4"/>
      <c r="CK69" s="4"/>
      <c r="CL69" s="4"/>
      <c r="CM69" s="4"/>
      <c r="CN69" s="4"/>
      <c r="CO69" s="4"/>
      <c r="CP69" s="4"/>
      <c r="CQ69" s="4"/>
      <c r="CR69" s="4"/>
      <c r="CS69" s="4"/>
      <c r="CT69" s="4"/>
      <c r="CU69" s="4"/>
      <c r="CV69" s="4"/>
      <c r="CW69" s="4"/>
      <c r="CX69" s="4"/>
      <c r="CY69" s="4"/>
      <c r="CZ69" s="4"/>
      <c r="DA69" s="4"/>
      <c r="DB69" s="4"/>
      <c r="DC69" s="4"/>
      <c r="DD69" s="4"/>
      <c r="DE69" s="4"/>
      <c r="DF69" s="4"/>
      <c r="DG69" s="4"/>
      <c r="DH69" s="4"/>
      <c r="DI69" s="4"/>
      <c r="DJ69" s="4"/>
      <c r="DK69" s="4"/>
      <c r="DL69" s="4"/>
      <c r="DM69" s="4"/>
      <c r="DN69" s="4"/>
      <c r="DO69" s="4"/>
      <c r="DP69" s="4"/>
      <c r="DQ69" s="4"/>
      <c r="DR69" s="4"/>
      <c r="DS69" s="4"/>
      <c r="DT69" s="4"/>
      <c r="DU69" s="4"/>
      <c r="DV69" s="4"/>
      <c r="DW69" s="4"/>
      <c r="DX69" s="4"/>
      <c r="DY69" s="4"/>
      <c r="DZ69" s="4"/>
      <c r="EA69" s="4"/>
      <c r="EB69" s="4"/>
      <c r="EC69" s="4"/>
      <c r="ED69" s="4"/>
    </row>
    <row r="70" spans="2:134" ht="30" customHeight="1" thickBot="1" x14ac:dyDescent="0.35">
      <c r="B70" s="27" t="s">
        <v>89</v>
      </c>
      <c r="C70" s="12" t="s">
        <v>38</v>
      </c>
      <c r="D70" s="28"/>
      <c r="E70" s="47"/>
      <c r="F70" s="48"/>
      <c r="G70" s="29"/>
      <c r="H70" s="29" t="str">
        <f t="shared" si="73"/>
        <v/>
      </c>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c r="AP70" s="4"/>
      <c r="AQ70" s="4"/>
      <c r="AR70" s="4"/>
      <c r="AS70" s="4"/>
      <c r="AT70" s="4"/>
      <c r="AU70" s="4"/>
      <c r="AV70" s="4"/>
      <c r="AW70" s="4"/>
      <c r="AX70" s="4"/>
      <c r="AY70" s="4"/>
      <c r="AZ70" s="4"/>
      <c r="BA70" s="4"/>
      <c r="BB70" s="4"/>
      <c r="BC70" s="4"/>
      <c r="BD70" s="4"/>
      <c r="BE70" s="4"/>
      <c r="BF70" s="4"/>
      <c r="BG70" s="4"/>
      <c r="BH70" s="4"/>
      <c r="BI70" s="4"/>
      <c r="BJ70" s="4"/>
      <c r="BK70" s="4"/>
      <c r="BL70" s="4"/>
      <c r="BM70" s="4"/>
      <c r="BN70" s="4"/>
      <c r="BO70" s="4"/>
      <c r="BP70" s="4"/>
      <c r="BQ70" s="4"/>
      <c r="BR70" s="4"/>
      <c r="BS70" s="4"/>
      <c r="BT70" s="4"/>
      <c r="BU70" s="4"/>
      <c r="BV70" s="4"/>
      <c r="BW70" s="4"/>
      <c r="BX70" s="4"/>
      <c r="BY70" s="4"/>
      <c r="BZ70" s="4"/>
      <c r="CA70" s="4"/>
      <c r="CB70" s="4"/>
      <c r="CC70" s="4"/>
      <c r="CD70" s="4"/>
      <c r="CE70" s="4"/>
      <c r="CF70" s="4"/>
      <c r="CG70" s="4"/>
      <c r="CH70" s="4"/>
      <c r="CI70" s="4"/>
      <c r="CJ70" s="4"/>
      <c r="CK70" s="4"/>
      <c r="CL70" s="4"/>
      <c r="CM70" s="4"/>
      <c r="CN70" s="4"/>
      <c r="CO70" s="4"/>
      <c r="CP70" s="4"/>
      <c r="CQ70" s="4"/>
      <c r="CR70" s="4"/>
      <c r="CS70" s="4"/>
      <c r="CT70" s="4"/>
      <c r="CU70" s="4"/>
      <c r="CV70" s="4"/>
      <c r="CW70" s="4"/>
      <c r="CX70" s="4"/>
      <c r="CY70" s="4"/>
      <c r="CZ70" s="4"/>
      <c r="DA70" s="4"/>
      <c r="DB70" s="4"/>
      <c r="DC70" s="4"/>
      <c r="DD70" s="4"/>
      <c r="DE70" s="4"/>
      <c r="DF70" s="4"/>
      <c r="DG70" s="4"/>
      <c r="DH70" s="4"/>
      <c r="DI70" s="4"/>
      <c r="DJ70" s="4"/>
      <c r="DK70" s="4"/>
      <c r="DL70" s="4"/>
      <c r="DM70" s="4"/>
      <c r="DN70" s="4"/>
      <c r="DO70" s="4"/>
      <c r="DP70" s="4"/>
      <c r="DQ70" s="4"/>
      <c r="DR70" s="4"/>
      <c r="DS70" s="4"/>
      <c r="DT70" s="4"/>
      <c r="DU70" s="4"/>
      <c r="DV70" s="4"/>
      <c r="DW70" s="4"/>
      <c r="DX70" s="4"/>
      <c r="DY70" s="4"/>
      <c r="DZ70" s="4"/>
      <c r="EA70" s="4"/>
      <c r="EB70" s="4"/>
      <c r="EC70" s="4"/>
      <c r="ED70" s="4"/>
    </row>
    <row r="71" spans="2:134" ht="30" customHeight="1" thickBot="1" x14ac:dyDescent="0.35">
      <c r="B71" s="62" t="s">
        <v>90</v>
      </c>
      <c r="C71" s="13" t="s">
        <v>38</v>
      </c>
      <c r="D71" s="30">
        <v>0</v>
      </c>
      <c r="E71" s="49">
        <f>F69</f>
        <v>46336</v>
      </c>
      <c r="F71" s="49">
        <f>E71+1</f>
        <v>46337</v>
      </c>
      <c r="G71" s="29"/>
      <c r="H71" s="29">
        <f t="shared" si="73"/>
        <v>2</v>
      </c>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c r="AP71" s="4"/>
      <c r="AQ71" s="4"/>
      <c r="AR71" s="4"/>
      <c r="AS71" s="4"/>
      <c r="AT71" s="4"/>
      <c r="AU71" s="4"/>
      <c r="AV71" s="4"/>
      <c r="AW71" s="4"/>
      <c r="AX71" s="4"/>
      <c r="AY71" s="4"/>
      <c r="AZ71" s="4"/>
      <c r="BA71" s="4"/>
      <c r="BB71" s="4"/>
      <c r="BC71" s="4"/>
      <c r="BD71" s="4"/>
      <c r="BE71" s="4"/>
      <c r="BF71" s="4"/>
      <c r="BG71" s="4"/>
      <c r="BH71" s="4"/>
      <c r="BI71" s="4"/>
      <c r="BJ71" s="4"/>
      <c r="BK71" s="4"/>
      <c r="BL71" s="4"/>
      <c r="BM71" s="4"/>
      <c r="BN71" s="4"/>
      <c r="BO71" s="4"/>
      <c r="BP71" s="4"/>
      <c r="BQ71" s="4"/>
      <c r="BR71" s="4"/>
      <c r="BS71" s="4"/>
      <c r="BT71" s="4"/>
      <c r="BU71" s="4"/>
      <c r="BV71" s="4"/>
      <c r="BW71" s="4"/>
      <c r="BX71" s="4"/>
      <c r="BY71" s="4"/>
      <c r="BZ71" s="4"/>
      <c r="CA71" s="4"/>
      <c r="CB71" s="4"/>
      <c r="CC71" s="4"/>
      <c r="CD71" s="4"/>
      <c r="CE71" s="4"/>
      <c r="CF71" s="4"/>
      <c r="CG71" s="4"/>
      <c r="CH71" s="4"/>
      <c r="CI71" s="4"/>
      <c r="CJ71" s="4"/>
      <c r="CK71" s="4"/>
      <c r="CL71" s="4"/>
      <c r="CM71" s="4"/>
      <c r="CN71" s="4"/>
      <c r="CO71" s="4"/>
      <c r="CP71" s="4"/>
      <c r="CQ71" s="4"/>
      <c r="CR71" s="4"/>
      <c r="CS71" s="4"/>
      <c r="CT71" s="4"/>
      <c r="CU71" s="4"/>
      <c r="CV71" s="4"/>
      <c r="CW71" s="4"/>
      <c r="CX71" s="4"/>
      <c r="CY71" s="4"/>
      <c r="CZ71" s="4"/>
      <c r="DA71" s="4"/>
      <c r="DB71" s="4"/>
      <c r="DC71" s="4"/>
      <c r="DD71" s="4"/>
      <c r="DE71" s="4"/>
      <c r="DF71" s="4"/>
      <c r="DG71" s="4"/>
      <c r="DH71" s="4"/>
      <c r="DI71" s="4"/>
      <c r="DJ71" s="4"/>
      <c r="DK71" s="4"/>
      <c r="DL71" s="4"/>
      <c r="DM71" s="4"/>
      <c r="DN71" s="4"/>
      <c r="DO71" s="4"/>
      <c r="DP71" s="4"/>
      <c r="DQ71" s="4"/>
      <c r="DR71" s="4"/>
      <c r="DS71" s="4"/>
      <c r="DT71" s="4"/>
      <c r="DU71" s="4"/>
      <c r="DV71" s="4"/>
      <c r="DW71" s="4"/>
      <c r="DX71" s="4"/>
      <c r="DY71" s="4"/>
      <c r="DZ71" s="4"/>
      <c r="EA71" s="4"/>
      <c r="EB71" s="4"/>
      <c r="EC71" s="4"/>
      <c r="ED71" s="4"/>
    </row>
    <row r="72" spans="2:134" ht="30" customHeight="1" thickBot="1" x14ac:dyDescent="0.35">
      <c r="B72" s="57" t="s">
        <v>246</v>
      </c>
      <c r="C72" s="54" t="s">
        <v>38</v>
      </c>
      <c r="D72" s="55"/>
      <c r="E72" s="56"/>
      <c r="F72" s="56"/>
      <c r="G72" s="29"/>
      <c r="H72" s="29" t="str">
        <f t="shared" si="73"/>
        <v/>
      </c>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c r="AP72" s="4"/>
      <c r="AQ72" s="4"/>
      <c r="AR72" s="4"/>
      <c r="AS72" s="4"/>
      <c r="AT72" s="4"/>
      <c r="AU72" s="4"/>
      <c r="AV72" s="4"/>
      <c r="AW72" s="4"/>
      <c r="AX72" s="4"/>
      <c r="AY72" s="4"/>
      <c r="AZ72" s="4"/>
      <c r="BA72" s="4"/>
      <c r="BB72" s="4"/>
      <c r="BC72" s="4"/>
      <c r="BD72" s="4"/>
      <c r="BE72" s="4"/>
      <c r="BF72" s="4"/>
      <c r="BG72" s="4"/>
      <c r="BH72" s="4"/>
      <c r="BI72" s="4"/>
      <c r="BJ72" s="4"/>
      <c r="BK72" s="4"/>
      <c r="BL72" s="4"/>
      <c r="BM72" s="4"/>
      <c r="BN72" s="4"/>
      <c r="BO72" s="4"/>
      <c r="BP72" s="4"/>
      <c r="BQ72" s="4"/>
      <c r="BR72" s="4"/>
      <c r="BS72" s="4"/>
      <c r="BT72" s="4"/>
      <c r="BU72" s="4"/>
      <c r="BV72" s="4"/>
      <c r="BW72" s="4"/>
      <c r="BX72" s="4"/>
      <c r="BY72" s="4"/>
      <c r="BZ72" s="4"/>
      <c r="CA72" s="4"/>
      <c r="CB72" s="4"/>
      <c r="CC72" s="4"/>
      <c r="CD72" s="4"/>
      <c r="CE72" s="4"/>
      <c r="CF72" s="4"/>
      <c r="CG72" s="4"/>
      <c r="CH72" s="4"/>
      <c r="CI72" s="4"/>
      <c r="CJ72" s="4"/>
      <c r="CK72" s="4"/>
      <c r="CL72" s="4"/>
      <c r="CM72" s="4"/>
      <c r="CN72" s="4"/>
      <c r="CO72" s="4"/>
      <c r="CP72" s="4"/>
      <c r="CQ72" s="4"/>
      <c r="CR72" s="4"/>
      <c r="CS72" s="4"/>
      <c r="CT72" s="4"/>
      <c r="CU72" s="4"/>
      <c r="CV72" s="4"/>
      <c r="CW72" s="4"/>
      <c r="CX72" s="4"/>
      <c r="CY72" s="4"/>
      <c r="CZ72" s="4"/>
      <c r="DA72" s="4"/>
      <c r="DB72" s="4"/>
      <c r="DC72" s="4"/>
      <c r="DD72" s="4"/>
      <c r="DE72" s="4"/>
      <c r="DF72" s="4"/>
      <c r="DG72" s="4"/>
      <c r="DH72" s="4"/>
      <c r="DI72" s="4"/>
      <c r="DJ72" s="4"/>
      <c r="DK72" s="4"/>
      <c r="DL72" s="4"/>
      <c r="DM72" s="4"/>
      <c r="DN72" s="4"/>
      <c r="DO72" s="4"/>
      <c r="DP72" s="4"/>
      <c r="DQ72" s="4"/>
      <c r="DR72" s="4"/>
      <c r="DS72" s="4"/>
      <c r="DT72" s="4"/>
      <c r="DU72" s="4"/>
      <c r="DV72" s="4"/>
      <c r="DW72" s="4"/>
      <c r="DX72" s="4"/>
      <c r="DY72" s="4"/>
      <c r="DZ72" s="4"/>
      <c r="EA72" s="4"/>
      <c r="EB72" s="4"/>
      <c r="EC72" s="4"/>
      <c r="ED72" s="4"/>
    </row>
    <row r="73" spans="2:134" ht="30" customHeight="1" thickBot="1" x14ac:dyDescent="0.35">
      <c r="B73" s="77" t="s">
        <v>247</v>
      </c>
      <c r="C73" s="13" t="s">
        <v>38</v>
      </c>
      <c r="D73" s="30">
        <v>0</v>
      </c>
      <c r="E73" s="49">
        <f>E71</f>
        <v>46336</v>
      </c>
      <c r="F73" s="49">
        <f>E73+1</f>
        <v>46337</v>
      </c>
      <c r="G73" s="29"/>
      <c r="H73" s="29">
        <f t="shared" si="73"/>
        <v>2</v>
      </c>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c r="AP73" s="4"/>
      <c r="AQ73" s="4"/>
      <c r="AR73" s="4"/>
      <c r="AS73" s="4"/>
      <c r="AT73" s="4"/>
      <c r="AU73" s="4"/>
      <c r="AV73" s="4"/>
      <c r="AW73" s="4"/>
      <c r="AX73" s="4"/>
      <c r="AY73" s="4"/>
      <c r="AZ73" s="4"/>
      <c r="BA73" s="4"/>
      <c r="BB73" s="4"/>
      <c r="BC73" s="4"/>
      <c r="BD73" s="4"/>
      <c r="BE73" s="4"/>
      <c r="BF73" s="4"/>
      <c r="BG73" s="4"/>
      <c r="BH73" s="4"/>
      <c r="BI73" s="4"/>
      <c r="BJ73" s="4"/>
      <c r="BK73" s="4"/>
      <c r="BL73" s="4"/>
      <c r="BM73" s="4"/>
      <c r="BN73" s="4"/>
      <c r="BO73" s="4"/>
      <c r="BP73" s="4"/>
      <c r="BQ73" s="4"/>
      <c r="BR73" s="4"/>
      <c r="BS73" s="4"/>
      <c r="BT73" s="4"/>
      <c r="BU73" s="4"/>
      <c r="BV73" s="4"/>
      <c r="BW73" s="4"/>
      <c r="BX73" s="4"/>
      <c r="BY73" s="4"/>
      <c r="BZ73" s="4"/>
      <c r="CA73" s="4"/>
      <c r="CB73" s="4"/>
      <c r="CC73" s="4"/>
      <c r="CD73" s="4"/>
      <c r="CE73" s="4"/>
      <c r="CF73" s="4"/>
      <c r="CG73" s="4"/>
      <c r="CH73" s="4"/>
      <c r="CI73" s="4"/>
      <c r="CJ73" s="4"/>
      <c r="CK73" s="4"/>
      <c r="CL73" s="4"/>
      <c r="CM73" s="4"/>
      <c r="CN73" s="4"/>
      <c r="CO73" s="4"/>
      <c r="CP73" s="4"/>
      <c r="CQ73" s="4"/>
      <c r="CR73" s="4"/>
      <c r="CS73" s="4"/>
      <c r="CT73" s="4"/>
      <c r="CU73" s="4"/>
      <c r="CV73" s="4"/>
      <c r="CW73" s="4"/>
      <c r="CX73" s="4"/>
      <c r="CY73" s="4"/>
      <c r="CZ73" s="4"/>
      <c r="DA73" s="4"/>
      <c r="DB73" s="4"/>
      <c r="DC73" s="4"/>
      <c r="DD73" s="4"/>
      <c r="DE73" s="4"/>
      <c r="DF73" s="4"/>
      <c r="DG73" s="4"/>
      <c r="DH73" s="4"/>
      <c r="DI73" s="4"/>
      <c r="DJ73" s="4"/>
      <c r="DK73" s="4"/>
      <c r="DL73" s="4"/>
      <c r="DM73" s="4"/>
      <c r="DN73" s="4"/>
      <c r="DO73" s="4"/>
      <c r="DP73" s="4"/>
      <c r="DQ73" s="4"/>
      <c r="DR73" s="4"/>
      <c r="DS73" s="4"/>
      <c r="DT73" s="4"/>
      <c r="DU73" s="4"/>
      <c r="DV73" s="4"/>
      <c r="DW73" s="4"/>
      <c r="DX73" s="4"/>
      <c r="DY73" s="4"/>
      <c r="DZ73" s="4"/>
      <c r="EA73" s="4"/>
      <c r="EB73" s="4"/>
      <c r="EC73" s="4"/>
      <c r="ED73" s="4"/>
    </row>
    <row r="74" spans="2:134" ht="30" customHeight="1" thickBot="1" x14ac:dyDescent="0.35">
      <c r="B74" s="77" t="s">
        <v>248</v>
      </c>
      <c r="C74" s="13" t="s">
        <v>38</v>
      </c>
      <c r="D74" s="30">
        <v>0</v>
      </c>
      <c r="E74" s="49">
        <f>E73</f>
        <v>46336</v>
      </c>
      <c r="F74" s="49">
        <f>E74+1</f>
        <v>46337</v>
      </c>
      <c r="G74" s="29"/>
      <c r="H74" s="29">
        <f t="shared" si="73"/>
        <v>2</v>
      </c>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c r="AP74" s="4"/>
      <c r="AQ74" s="4"/>
      <c r="AR74" s="4"/>
      <c r="AS74" s="4"/>
      <c r="AT74" s="4"/>
      <c r="AU74" s="4"/>
      <c r="AV74" s="4"/>
      <c r="AW74" s="4"/>
      <c r="AX74" s="4"/>
      <c r="AY74" s="4"/>
      <c r="AZ74" s="4"/>
      <c r="BA74" s="4"/>
      <c r="BB74" s="4"/>
      <c r="BC74" s="4"/>
      <c r="BD74" s="4"/>
      <c r="BE74" s="4"/>
      <c r="BF74" s="4"/>
      <c r="BG74" s="4"/>
      <c r="BH74" s="4"/>
      <c r="BI74" s="4"/>
      <c r="BJ74" s="4"/>
      <c r="BK74" s="4"/>
      <c r="BL74" s="4"/>
      <c r="BM74" s="4"/>
      <c r="BN74" s="4"/>
      <c r="BO74" s="4"/>
      <c r="BP74" s="4"/>
      <c r="BQ74" s="4"/>
      <c r="BR74" s="4"/>
      <c r="BS74" s="4"/>
      <c r="BT74" s="4"/>
      <c r="BU74" s="4"/>
      <c r="BV74" s="4"/>
      <c r="BW74" s="4"/>
      <c r="BX74" s="4"/>
      <c r="BY74" s="4"/>
      <c r="BZ74" s="4"/>
      <c r="CA74" s="4"/>
      <c r="CB74" s="4"/>
      <c r="CC74" s="4"/>
      <c r="CD74" s="4"/>
      <c r="CE74" s="4"/>
      <c r="CF74" s="4"/>
      <c r="CG74" s="4"/>
      <c r="CH74" s="4"/>
      <c r="CI74" s="4"/>
      <c r="CJ74" s="4"/>
      <c r="CK74" s="4"/>
      <c r="CL74" s="4"/>
      <c r="CM74" s="4"/>
      <c r="CN74" s="4"/>
      <c r="CO74" s="4"/>
      <c r="CP74" s="4"/>
      <c r="CQ74" s="4"/>
      <c r="CR74" s="4"/>
      <c r="CS74" s="4"/>
      <c r="CT74" s="4"/>
      <c r="CU74" s="4"/>
      <c r="CV74" s="4"/>
      <c r="CW74" s="4"/>
      <c r="CX74" s="4"/>
      <c r="CY74" s="4"/>
      <c r="CZ74" s="4"/>
      <c r="DA74" s="4"/>
      <c r="DB74" s="4"/>
      <c r="DC74" s="4"/>
      <c r="DD74" s="4"/>
      <c r="DE74" s="4"/>
      <c r="DF74" s="4"/>
      <c r="DG74" s="4"/>
      <c r="DH74" s="4"/>
      <c r="DI74" s="4"/>
      <c r="DJ74" s="4"/>
      <c r="DK74" s="4"/>
      <c r="DL74" s="4"/>
      <c r="DM74" s="4"/>
      <c r="DN74" s="4"/>
      <c r="DO74" s="4"/>
      <c r="DP74" s="4"/>
      <c r="DQ74" s="4"/>
      <c r="DR74" s="4"/>
      <c r="DS74" s="4"/>
      <c r="DT74" s="4"/>
      <c r="DU74" s="4"/>
      <c r="DV74" s="4"/>
      <c r="DW74" s="4"/>
      <c r="DX74" s="4"/>
      <c r="DY74" s="4"/>
      <c r="DZ74" s="4"/>
      <c r="EA74" s="4"/>
      <c r="EB74" s="4"/>
      <c r="EC74" s="4"/>
      <c r="ED74" s="4"/>
    </row>
    <row r="75" spans="2:134" ht="30" customHeight="1" thickBot="1" x14ac:dyDescent="0.35">
      <c r="B75" s="57" t="s">
        <v>91</v>
      </c>
      <c r="C75" s="54" t="s">
        <v>38</v>
      </c>
      <c r="D75" s="55"/>
      <c r="E75" s="56"/>
      <c r="F75" s="56"/>
      <c r="G75" s="29"/>
      <c r="H75" s="29" t="str">
        <f t="shared" si="73"/>
        <v/>
      </c>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c r="AP75" s="4"/>
      <c r="AQ75" s="4"/>
      <c r="AR75" s="4"/>
      <c r="AS75" s="4"/>
      <c r="AT75" s="4"/>
      <c r="AU75" s="4"/>
      <c r="AV75" s="4"/>
      <c r="AW75" s="4"/>
      <c r="AX75" s="4"/>
      <c r="AY75" s="4"/>
      <c r="AZ75" s="4"/>
      <c r="BA75" s="4"/>
      <c r="BB75" s="4"/>
      <c r="BC75" s="4"/>
      <c r="BD75" s="4"/>
      <c r="BE75" s="4"/>
      <c r="BF75" s="4"/>
      <c r="BG75" s="4"/>
      <c r="BH75" s="4"/>
      <c r="BI75" s="4"/>
      <c r="BJ75" s="4"/>
      <c r="BK75" s="4"/>
      <c r="BL75" s="4"/>
      <c r="BM75" s="4"/>
      <c r="BN75" s="4"/>
      <c r="BO75" s="4"/>
      <c r="BP75" s="4"/>
      <c r="BQ75" s="4"/>
      <c r="BR75" s="4"/>
      <c r="BS75" s="4"/>
      <c r="BT75" s="4"/>
      <c r="BU75" s="4"/>
      <c r="BV75" s="4"/>
      <c r="BW75" s="4"/>
      <c r="BX75" s="4"/>
      <c r="BY75" s="4"/>
      <c r="BZ75" s="4"/>
      <c r="CA75" s="4"/>
      <c r="CB75" s="4"/>
      <c r="CC75" s="4"/>
      <c r="CD75" s="4"/>
      <c r="CE75" s="4"/>
      <c r="CF75" s="4"/>
      <c r="CG75" s="4"/>
      <c r="CH75" s="4"/>
      <c r="CI75" s="4"/>
      <c r="CJ75" s="4"/>
      <c r="CK75" s="4"/>
      <c r="CL75" s="4"/>
      <c r="CM75" s="4"/>
      <c r="CN75" s="4"/>
      <c r="CO75" s="4"/>
      <c r="CP75" s="4"/>
      <c r="CQ75" s="4"/>
      <c r="CR75" s="4"/>
      <c r="CS75" s="4"/>
      <c r="CT75" s="4"/>
      <c r="CU75" s="4"/>
      <c r="CV75" s="4"/>
      <c r="CW75" s="4"/>
      <c r="CX75" s="4"/>
      <c r="CY75" s="4"/>
      <c r="CZ75" s="4"/>
      <c r="DA75" s="4"/>
      <c r="DB75" s="4"/>
      <c r="DC75" s="4"/>
      <c r="DD75" s="4"/>
      <c r="DE75" s="4"/>
      <c r="DF75" s="4"/>
      <c r="DG75" s="4"/>
      <c r="DH75" s="4"/>
      <c r="DI75" s="4"/>
      <c r="DJ75" s="4"/>
      <c r="DK75" s="4"/>
      <c r="DL75" s="4"/>
      <c r="DM75" s="4"/>
      <c r="DN75" s="4"/>
      <c r="DO75" s="4"/>
      <c r="DP75" s="4"/>
      <c r="DQ75" s="4"/>
      <c r="DR75" s="4"/>
      <c r="DS75" s="4"/>
      <c r="DT75" s="4"/>
      <c r="DU75" s="4"/>
      <c r="DV75" s="4"/>
      <c r="DW75" s="4"/>
      <c r="DX75" s="4"/>
      <c r="DY75" s="4"/>
      <c r="DZ75" s="4"/>
      <c r="EA75" s="4"/>
      <c r="EB75" s="4"/>
      <c r="EC75" s="4"/>
      <c r="ED75" s="4"/>
    </row>
    <row r="76" spans="2:134" ht="30" customHeight="1" thickBot="1" x14ac:dyDescent="0.35">
      <c r="B76" s="27" t="s">
        <v>230</v>
      </c>
      <c r="C76" s="12" t="s">
        <v>38</v>
      </c>
      <c r="D76" s="28"/>
      <c r="E76" s="47"/>
      <c r="F76" s="48"/>
      <c r="G76" s="29"/>
      <c r="H76" s="29" t="str">
        <f t="shared" si="73"/>
        <v/>
      </c>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c r="AP76" s="4"/>
      <c r="AQ76" s="4"/>
      <c r="AR76" s="4"/>
      <c r="AS76" s="4"/>
      <c r="AT76" s="4"/>
      <c r="AU76" s="4"/>
      <c r="AV76" s="4"/>
      <c r="AW76" s="4"/>
      <c r="AX76" s="4"/>
      <c r="AY76" s="4"/>
      <c r="AZ76" s="4"/>
      <c r="BA76" s="4"/>
      <c r="BB76" s="4"/>
      <c r="BC76" s="4"/>
      <c r="BD76" s="4"/>
      <c r="BE76" s="4"/>
      <c r="BF76" s="4"/>
      <c r="BG76" s="4"/>
      <c r="BH76" s="4"/>
      <c r="BI76" s="4"/>
      <c r="BJ76" s="4"/>
      <c r="BK76" s="4"/>
      <c r="BL76" s="4"/>
      <c r="BM76" s="4"/>
      <c r="BN76" s="4"/>
      <c r="BO76" s="4"/>
      <c r="BP76" s="4"/>
      <c r="BQ76" s="4"/>
      <c r="BR76" s="4"/>
      <c r="BS76" s="4"/>
      <c r="BT76" s="4"/>
      <c r="BU76" s="4"/>
      <c r="BV76" s="4"/>
      <c r="BW76" s="4"/>
      <c r="BX76" s="4"/>
      <c r="BY76" s="4"/>
      <c r="BZ76" s="4"/>
      <c r="CA76" s="4"/>
      <c r="CB76" s="4"/>
      <c r="CC76" s="4"/>
      <c r="CD76" s="4"/>
      <c r="CE76" s="4"/>
      <c r="CF76" s="4"/>
      <c r="CG76" s="4"/>
      <c r="CH76" s="4"/>
      <c r="CI76" s="4"/>
      <c r="CJ76" s="4"/>
      <c r="CK76" s="4"/>
      <c r="CL76" s="4"/>
      <c r="CM76" s="4"/>
      <c r="CN76" s="4"/>
      <c r="CO76" s="4"/>
      <c r="CP76" s="4"/>
      <c r="CQ76" s="4"/>
      <c r="CR76" s="4"/>
      <c r="CS76" s="4"/>
      <c r="CT76" s="4"/>
      <c r="CU76" s="4"/>
      <c r="CV76" s="4"/>
      <c r="CW76" s="4"/>
      <c r="CX76" s="4"/>
      <c r="CY76" s="4"/>
      <c r="CZ76" s="4"/>
      <c r="DA76" s="4"/>
      <c r="DB76" s="4"/>
      <c r="DC76" s="4"/>
      <c r="DD76" s="4"/>
      <c r="DE76" s="4"/>
      <c r="DF76" s="4"/>
      <c r="DG76" s="4"/>
      <c r="DH76" s="4"/>
      <c r="DI76" s="4"/>
      <c r="DJ76" s="4"/>
      <c r="DK76" s="4"/>
      <c r="DL76" s="4"/>
      <c r="DM76" s="4"/>
      <c r="DN76" s="4"/>
      <c r="DO76" s="4"/>
      <c r="DP76" s="4"/>
      <c r="DQ76" s="4"/>
      <c r="DR76" s="4"/>
      <c r="DS76" s="4"/>
      <c r="DT76" s="4"/>
      <c r="DU76" s="4"/>
      <c r="DV76" s="4"/>
      <c r="DW76" s="4"/>
      <c r="DX76" s="4"/>
      <c r="DY76" s="4"/>
      <c r="DZ76" s="4"/>
      <c r="EA76" s="4"/>
      <c r="EB76" s="4"/>
      <c r="EC76" s="4"/>
      <c r="ED76" s="4"/>
    </row>
    <row r="77" spans="2:134" ht="30" customHeight="1" thickBot="1" x14ac:dyDescent="0.35">
      <c r="B77" s="77" t="s">
        <v>231</v>
      </c>
      <c r="C77" s="13" t="s">
        <v>38</v>
      </c>
      <c r="D77" s="30">
        <v>0</v>
      </c>
      <c r="E77" s="49">
        <f>F74</f>
        <v>46337</v>
      </c>
      <c r="F77" s="49">
        <f>E77</f>
        <v>46337</v>
      </c>
      <c r="G77" s="29"/>
      <c r="H77" s="29">
        <f t="shared" si="73"/>
        <v>1</v>
      </c>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c r="AP77" s="4"/>
      <c r="AQ77" s="4"/>
      <c r="AR77" s="4"/>
      <c r="AS77" s="4"/>
      <c r="AT77" s="4"/>
      <c r="AU77" s="4"/>
      <c r="AV77" s="4"/>
      <c r="AW77" s="4"/>
      <c r="AX77" s="4"/>
      <c r="AY77" s="4"/>
      <c r="AZ77" s="4"/>
      <c r="BA77" s="4"/>
      <c r="BB77" s="4"/>
      <c r="BC77" s="4"/>
      <c r="BD77" s="4"/>
      <c r="BE77" s="4"/>
      <c r="BF77" s="4"/>
      <c r="BG77" s="4"/>
      <c r="BH77" s="4"/>
      <c r="BI77" s="4"/>
      <c r="BJ77" s="4"/>
      <c r="BK77" s="4"/>
      <c r="BL77" s="4"/>
      <c r="BM77" s="4"/>
      <c r="BN77" s="4"/>
      <c r="BO77" s="4"/>
      <c r="BP77" s="4"/>
      <c r="BQ77" s="4"/>
      <c r="BR77" s="4"/>
      <c r="BS77" s="4"/>
      <c r="BT77" s="4"/>
      <c r="BU77" s="4"/>
      <c r="BV77" s="4"/>
      <c r="BW77" s="4"/>
      <c r="BX77" s="4"/>
      <c r="BY77" s="4"/>
      <c r="BZ77" s="4"/>
      <c r="CA77" s="4"/>
      <c r="CB77" s="4"/>
      <c r="CC77" s="4"/>
      <c r="CD77" s="4"/>
      <c r="CE77" s="4"/>
      <c r="CF77" s="4"/>
      <c r="CG77" s="4"/>
      <c r="CH77" s="4"/>
      <c r="CI77" s="4"/>
      <c r="CJ77" s="4"/>
      <c r="CK77" s="4"/>
      <c r="CL77" s="4"/>
      <c r="CM77" s="4"/>
      <c r="CN77" s="4"/>
      <c r="CO77" s="4"/>
      <c r="CP77" s="4"/>
      <c r="CQ77" s="4"/>
      <c r="CR77" s="4"/>
      <c r="CS77" s="4"/>
      <c r="CT77" s="4"/>
      <c r="CU77" s="4"/>
      <c r="CV77" s="4"/>
      <c r="CW77" s="4"/>
      <c r="CX77" s="4"/>
      <c r="CY77" s="4"/>
      <c r="CZ77" s="4"/>
      <c r="DA77" s="4"/>
      <c r="DB77" s="4"/>
      <c r="DC77" s="4"/>
      <c r="DD77" s="4"/>
      <c r="DE77" s="4"/>
      <c r="DF77" s="4"/>
      <c r="DG77" s="4"/>
      <c r="DH77" s="4"/>
      <c r="DI77" s="4"/>
      <c r="DJ77" s="4"/>
      <c r="DK77" s="4"/>
      <c r="DL77" s="4"/>
      <c r="DM77" s="4"/>
      <c r="DN77" s="4"/>
      <c r="DO77" s="4"/>
      <c r="DP77" s="4"/>
      <c r="DQ77" s="4"/>
      <c r="DR77" s="4"/>
      <c r="DS77" s="4"/>
      <c r="DT77" s="4"/>
      <c r="DU77" s="4"/>
      <c r="DV77" s="4"/>
      <c r="DW77" s="4"/>
      <c r="DX77" s="4"/>
      <c r="DY77" s="4"/>
      <c r="DZ77" s="4"/>
      <c r="EA77" s="4"/>
      <c r="EB77" s="4"/>
      <c r="EC77" s="4"/>
      <c r="ED77" s="4"/>
    </row>
    <row r="78" spans="2:134" ht="30" customHeight="1" thickBot="1" x14ac:dyDescent="0.35">
      <c r="B78" s="77" t="s">
        <v>232</v>
      </c>
      <c r="C78" s="13" t="s">
        <v>38</v>
      </c>
      <c r="D78" s="30">
        <v>0</v>
      </c>
      <c r="E78" s="49">
        <f>F77</f>
        <v>46337</v>
      </c>
      <c r="F78" s="49">
        <f>E78</f>
        <v>46337</v>
      </c>
      <c r="G78" s="29"/>
      <c r="H78" s="29">
        <f t="shared" si="73"/>
        <v>1</v>
      </c>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c r="AP78" s="4"/>
      <c r="AQ78" s="4"/>
      <c r="AR78" s="4"/>
      <c r="AS78" s="4"/>
      <c r="AT78" s="4"/>
      <c r="AU78" s="4"/>
      <c r="AV78" s="4"/>
      <c r="AW78" s="4"/>
      <c r="AX78" s="4"/>
      <c r="AY78" s="4"/>
      <c r="AZ78" s="4"/>
      <c r="BA78" s="4"/>
      <c r="BB78" s="4"/>
      <c r="BC78" s="4"/>
      <c r="BD78" s="4"/>
      <c r="BE78" s="4"/>
      <c r="BF78" s="4"/>
      <c r="BG78" s="4"/>
      <c r="BH78" s="4"/>
      <c r="BI78" s="4"/>
      <c r="BJ78" s="4"/>
      <c r="BK78" s="4"/>
      <c r="BL78" s="4"/>
      <c r="BM78" s="4"/>
      <c r="BN78" s="4"/>
      <c r="BO78" s="4"/>
      <c r="BP78" s="4"/>
      <c r="BQ78" s="4"/>
      <c r="BR78" s="4"/>
      <c r="BS78" s="4"/>
      <c r="BT78" s="4"/>
      <c r="BU78" s="4"/>
      <c r="BV78" s="4"/>
      <c r="BW78" s="4"/>
      <c r="BX78" s="4"/>
      <c r="BY78" s="4"/>
      <c r="BZ78" s="4"/>
      <c r="CA78" s="4"/>
      <c r="CB78" s="4"/>
      <c r="CC78" s="4"/>
      <c r="CD78" s="4"/>
      <c r="CE78" s="4"/>
      <c r="CF78" s="4"/>
      <c r="CG78" s="4"/>
      <c r="CH78" s="4"/>
      <c r="CI78" s="4"/>
      <c r="CJ78" s="4"/>
      <c r="CK78" s="4"/>
      <c r="CL78" s="4"/>
      <c r="CM78" s="4"/>
      <c r="CN78" s="4"/>
      <c r="CO78" s="4"/>
      <c r="CP78" s="4"/>
      <c r="CQ78" s="4"/>
      <c r="CR78" s="4"/>
      <c r="CS78" s="4"/>
      <c r="CT78" s="4"/>
      <c r="CU78" s="4"/>
      <c r="CV78" s="4"/>
      <c r="CW78" s="4"/>
      <c r="CX78" s="4"/>
      <c r="CY78" s="4"/>
      <c r="CZ78" s="4"/>
      <c r="DA78" s="4"/>
      <c r="DB78" s="4"/>
      <c r="DC78" s="4"/>
      <c r="DD78" s="4"/>
      <c r="DE78" s="4"/>
      <c r="DF78" s="4"/>
      <c r="DG78" s="4"/>
      <c r="DH78" s="4"/>
      <c r="DI78" s="4"/>
      <c r="DJ78" s="4"/>
      <c r="DK78" s="4"/>
      <c r="DL78" s="4"/>
      <c r="DM78" s="4"/>
      <c r="DN78" s="4"/>
      <c r="DO78" s="4"/>
      <c r="DP78" s="4"/>
      <c r="DQ78" s="4"/>
      <c r="DR78" s="4"/>
      <c r="DS78" s="4"/>
      <c r="DT78" s="4"/>
      <c r="DU78" s="4"/>
      <c r="DV78" s="4"/>
      <c r="DW78" s="4"/>
      <c r="DX78" s="4"/>
      <c r="DY78" s="4"/>
      <c r="DZ78" s="4"/>
      <c r="EA78" s="4"/>
      <c r="EB78" s="4"/>
      <c r="EC78" s="4"/>
      <c r="ED78" s="4"/>
    </row>
    <row r="79" spans="2:134" ht="30" customHeight="1" thickBot="1" x14ac:dyDescent="0.35">
      <c r="B79" s="77" t="s">
        <v>234</v>
      </c>
      <c r="C79" s="13" t="s">
        <v>38</v>
      </c>
      <c r="D79" s="30">
        <v>0</v>
      </c>
      <c r="E79" s="49">
        <f>F78</f>
        <v>46337</v>
      </c>
      <c r="F79" s="49">
        <f>E79</f>
        <v>46337</v>
      </c>
      <c r="G79" s="29"/>
      <c r="H79" s="29">
        <f t="shared" si="73"/>
        <v>1</v>
      </c>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c r="AP79" s="4"/>
      <c r="AQ79" s="4"/>
      <c r="AR79" s="4"/>
      <c r="AS79" s="4"/>
      <c r="AT79" s="4"/>
      <c r="AU79" s="4"/>
      <c r="AV79" s="4"/>
      <c r="AW79" s="4"/>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row>
    <row r="80" spans="2:134" ht="30" customHeight="1" thickBot="1" x14ac:dyDescent="0.35">
      <c r="B80" s="27" t="s">
        <v>87</v>
      </c>
      <c r="C80" s="12" t="s">
        <v>38</v>
      </c>
      <c r="D80" s="28"/>
      <c r="E80" s="47"/>
      <c r="F80" s="48"/>
      <c r="G80" s="29"/>
      <c r="H80" s="29" t="str">
        <f t="shared" si="73"/>
        <v/>
      </c>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c r="AP80" s="4"/>
      <c r="AQ80" s="4"/>
      <c r="AR80" s="4"/>
      <c r="AS80" s="4"/>
      <c r="AT80" s="4"/>
      <c r="AU80" s="4"/>
      <c r="AV80" s="4"/>
      <c r="AW80" s="4"/>
      <c r="AX80" s="4"/>
      <c r="AY80" s="4"/>
      <c r="AZ80" s="4"/>
      <c r="BA80" s="4"/>
      <c r="BB80" s="4"/>
      <c r="BC80" s="4"/>
      <c r="BD80" s="4"/>
      <c r="BE80" s="4"/>
      <c r="BF80" s="4"/>
      <c r="BG80" s="4"/>
      <c r="BH80" s="4"/>
      <c r="BI80" s="4"/>
      <c r="BJ80" s="4"/>
      <c r="BK80" s="4"/>
      <c r="BL80" s="4"/>
      <c r="BM80" s="4"/>
      <c r="BN80" s="4"/>
      <c r="BO80" s="4"/>
      <c r="BP80" s="4"/>
      <c r="BQ80" s="4"/>
      <c r="BR80" s="4"/>
      <c r="BS80" s="4"/>
      <c r="BT80" s="4"/>
      <c r="BU80" s="4"/>
      <c r="BV80" s="4"/>
      <c r="BW80" s="4"/>
      <c r="BX80" s="4"/>
      <c r="BY80" s="4"/>
      <c r="BZ80" s="4"/>
      <c r="CA80" s="4"/>
      <c r="CB80" s="4"/>
      <c r="CC80" s="4"/>
      <c r="CD80" s="4"/>
      <c r="CE80" s="4"/>
      <c r="CF80" s="4"/>
      <c r="CG80" s="4"/>
      <c r="CH80" s="4"/>
      <c r="CI80" s="4"/>
      <c r="CJ80" s="4"/>
      <c r="CK80" s="4"/>
      <c r="CL80" s="4"/>
      <c r="CM80" s="4"/>
      <c r="CN80" s="4"/>
      <c r="CO80" s="4"/>
      <c r="CP80" s="4"/>
      <c r="CQ80" s="4"/>
      <c r="CR80" s="4"/>
      <c r="CS80" s="4"/>
      <c r="CT80" s="4"/>
      <c r="CU80" s="4"/>
      <c r="CV80" s="4"/>
      <c r="CW80" s="4"/>
      <c r="CX80" s="4"/>
      <c r="CY80" s="4"/>
      <c r="CZ80" s="4"/>
      <c r="DA80" s="4"/>
      <c r="DB80" s="4"/>
      <c r="DC80" s="4"/>
      <c r="DD80" s="4"/>
      <c r="DE80" s="4"/>
      <c r="DF80" s="4"/>
      <c r="DG80" s="4"/>
      <c r="DH80" s="4"/>
      <c r="DI80" s="4"/>
      <c r="DJ80" s="4"/>
      <c r="DK80" s="4"/>
      <c r="DL80" s="4"/>
      <c r="DM80" s="4"/>
      <c r="DN80" s="4"/>
      <c r="DO80" s="4"/>
      <c r="DP80" s="4"/>
      <c r="DQ80" s="4"/>
      <c r="DR80" s="4"/>
      <c r="DS80" s="4"/>
      <c r="DT80" s="4"/>
      <c r="DU80" s="4"/>
      <c r="DV80" s="4"/>
      <c r="DW80" s="4"/>
      <c r="DX80" s="4"/>
      <c r="DY80" s="4"/>
      <c r="DZ80" s="4"/>
      <c r="EA80" s="4"/>
      <c r="EB80" s="4"/>
      <c r="EC80" s="4"/>
      <c r="ED80" s="4"/>
    </row>
    <row r="81" spans="2:134" ht="30" customHeight="1" thickBot="1" x14ac:dyDescent="0.35">
      <c r="B81" s="62" t="s">
        <v>88</v>
      </c>
      <c r="C81" s="13" t="s">
        <v>38</v>
      </c>
      <c r="D81" s="30">
        <v>0</v>
      </c>
      <c r="E81" s="49">
        <f>F79+1</f>
        <v>46338</v>
      </c>
      <c r="F81" s="49">
        <f>E81</f>
        <v>46338</v>
      </c>
      <c r="G81" s="29"/>
      <c r="H81" s="29">
        <f t="shared" si="73"/>
        <v>1</v>
      </c>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c r="AP81" s="4"/>
      <c r="AQ81" s="4"/>
      <c r="AR81" s="4"/>
      <c r="AS81" s="4"/>
      <c r="AT81" s="4"/>
      <c r="AU81" s="4"/>
      <c r="AV81" s="4"/>
      <c r="AW81" s="4"/>
      <c r="AX81" s="4"/>
      <c r="AY81" s="4"/>
      <c r="AZ81" s="4"/>
      <c r="BA81" s="4"/>
      <c r="BB81" s="4"/>
      <c r="BC81" s="4"/>
      <c r="BD81" s="4"/>
      <c r="BE81" s="4"/>
      <c r="BF81" s="4"/>
      <c r="BG81" s="4"/>
      <c r="BH81" s="4"/>
      <c r="BI81" s="4"/>
      <c r="BJ81" s="4"/>
      <c r="BK81" s="4"/>
      <c r="BL81" s="4"/>
      <c r="BM81" s="4"/>
      <c r="BN81" s="4"/>
      <c r="BO81" s="4"/>
      <c r="BP81" s="4"/>
      <c r="BQ81" s="4"/>
      <c r="BR81" s="4"/>
      <c r="BS81" s="4"/>
      <c r="BT81" s="4"/>
      <c r="BU81" s="4"/>
      <c r="BV81" s="4"/>
      <c r="BW81" s="4"/>
      <c r="BX81" s="4"/>
      <c r="BY81" s="4"/>
      <c r="BZ81" s="4"/>
      <c r="CA81" s="4"/>
      <c r="CB81" s="4"/>
      <c r="CC81" s="4"/>
      <c r="CD81" s="4"/>
      <c r="CE81" s="4"/>
      <c r="CF81" s="4"/>
      <c r="CG81" s="4"/>
      <c r="CH81" s="4"/>
      <c r="CI81" s="4"/>
      <c r="CJ81" s="4"/>
      <c r="CK81" s="4"/>
      <c r="CL81" s="4"/>
      <c r="CM81" s="4"/>
      <c r="CN81" s="4"/>
      <c r="CO81" s="4"/>
      <c r="CP81" s="4"/>
      <c r="CQ81" s="4"/>
      <c r="CR81" s="4"/>
      <c r="CS81" s="4"/>
      <c r="CT81" s="4"/>
      <c r="CU81" s="4"/>
      <c r="CV81" s="4"/>
      <c r="CW81" s="4"/>
      <c r="CX81" s="4"/>
      <c r="CY81" s="4"/>
      <c r="CZ81" s="4"/>
      <c r="DA81" s="4"/>
      <c r="DB81" s="4"/>
      <c r="DC81" s="4"/>
      <c r="DD81" s="4"/>
      <c r="DE81" s="4"/>
      <c r="DF81" s="4"/>
      <c r="DG81" s="4"/>
      <c r="DH81" s="4"/>
      <c r="DI81" s="4"/>
      <c r="DJ81" s="4"/>
      <c r="DK81" s="4"/>
      <c r="DL81" s="4"/>
      <c r="DM81" s="4"/>
      <c r="DN81" s="4"/>
      <c r="DO81" s="4"/>
      <c r="DP81" s="4"/>
      <c r="DQ81" s="4"/>
      <c r="DR81" s="4"/>
      <c r="DS81" s="4"/>
      <c r="DT81" s="4"/>
      <c r="DU81" s="4"/>
      <c r="DV81" s="4"/>
      <c r="DW81" s="4"/>
      <c r="DX81" s="4"/>
      <c r="DY81" s="4"/>
      <c r="DZ81" s="4"/>
      <c r="EA81" s="4"/>
      <c r="EB81" s="4"/>
      <c r="EC81" s="4"/>
      <c r="ED81" s="4"/>
    </row>
    <row r="82" spans="2:134" ht="30" customHeight="1" thickBot="1" x14ac:dyDescent="0.35">
      <c r="B82" s="27" t="s">
        <v>92</v>
      </c>
      <c r="C82" s="12" t="s">
        <v>38</v>
      </c>
      <c r="D82" s="28"/>
      <c r="E82" s="47"/>
      <c r="F82" s="48"/>
      <c r="G82" s="29"/>
      <c r="H82" s="29" t="str">
        <f t="shared" si="73"/>
        <v/>
      </c>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c r="AP82" s="4"/>
      <c r="AQ82" s="4"/>
      <c r="AR82" s="4"/>
      <c r="AS82" s="4"/>
      <c r="AT82" s="4"/>
      <c r="AU82" s="4"/>
      <c r="AV82" s="4"/>
      <c r="AW82" s="4"/>
      <c r="AX82" s="4"/>
      <c r="AY82" s="4"/>
      <c r="AZ82" s="4"/>
      <c r="BA82" s="4"/>
      <c r="BB82" s="4"/>
      <c r="BC82" s="4"/>
      <c r="BD82" s="4"/>
      <c r="BE82" s="4"/>
      <c r="BF82" s="4"/>
      <c r="BG82" s="4"/>
      <c r="BH82" s="4"/>
      <c r="BI82" s="4"/>
      <c r="BJ82" s="4"/>
      <c r="BK82" s="4"/>
      <c r="BL82" s="4"/>
      <c r="BM82" s="4"/>
      <c r="BN82" s="4"/>
      <c r="BO82" s="4"/>
      <c r="BP82" s="4"/>
      <c r="BQ82" s="4"/>
      <c r="BR82" s="4"/>
      <c r="BS82" s="4"/>
      <c r="BT82" s="4"/>
      <c r="BU82" s="4"/>
      <c r="BV82" s="4"/>
      <c r="BW82" s="4"/>
      <c r="BX82" s="4"/>
      <c r="BY82" s="4"/>
      <c r="BZ82" s="4"/>
      <c r="CA82" s="4"/>
      <c r="CB82" s="4"/>
      <c r="CC82" s="4"/>
      <c r="CD82" s="4"/>
      <c r="CE82" s="4"/>
      <c r="CF82" s="4"/>
      <c r="CG82" s="4"/>
      <c r="CH82" s="4"/>
      <c r="CI82" s="4"/>
      <c r="CJ82" s="4"/>
      <c r="CK82" s="4"/>
      <c r="CL82" s="4"/>
      <c r="CM82" s="4"/>
      <c r="CN82" s="4"/>
      <c r="CO82" s="4"/>
      <c r="CP82" s="4"/>
      <c r="CQ82" s="4"/>
      <c r="CR82" s="4"/>
      <c r="CS82" s="4"/>
      <c r="CT82" s="4"/>
      <c r="CU82" s="4"/>
      <c r="CV82" s="4"/>
      <c r="CW82" s="4"/>
      <c r="CX82" s="4"/>
      <c r="CY82" s="4"/>
      <c r="CZ82" s="4"/>
      <c r="DA82" s="4"/>
      <c r="DB82" s="4"/>
      <c r="DC82" s="4"/>
      <c r="DD82" s="4"/>
      <c r="DE82" s="4"/>
      <c r="DF82" s="4"/>
      <c r="DG82" s="4"/>
      <c r="DH82" s="4"/>
      <c r="DI82" s="4"/>
      <c r="DJ82" s="4"/>
      <c r="DK82" s="4"/>
      <c r="DL82" s="4"/>
      <c r="DM82" s="4"/>
      <c r="DN82" s="4"/>
      <c r="DO82" s="4"/>
      <c r="DP82" s="4"/>
      <c r="DQ82" s="4"/>
      <c r="DR82" s="4"/>
      <c r="DS82" s="4"/>
      <c r="DT82" s="4"/>
      <c r="DU82" s="4"/>
      <c r="DV82" s="4"/>
      <c r="DW82" s="4"/>
      <c r="DX82" s="4"/>
      <c r="DY82" s="4"/>
      <c r="DZ82" s="4"/>
      <c r="EA82" s="4"/>
      <c r="EB82" s="4"/>
      <c r="EC82" s="4"/>
      <c r="ED82" s="4"/>
    </row>
    <row r="83" spans="2:134" ht="30" customHeight="1" thickBot="1" x14ac:dyDescent="0.35">
      <c r="B83" s="62" t="s">
        <v>94</v>
      </c>
      <c r="C83" s="13" t="s">
        <v>38</v>
      </c>
      <c r="D83" s="30">
        <v>0</v>
      </c>
      <c r="E83" s="49">
        <f>F81</f>
        <v>46338</v>
      </c>
      <c r="F83" s="49">
        <f>E83+1</f>
        <v>46339</v>
      </c>
      <c r="G83" s="29"/>
      <c r="H83" s="29">
        <f t="shared" si="73"/>
        <v>2</v>
      </c>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c r="AP83" s="4"/>
      <c r="AQ83" s="4"/>
      <c r="AR83" s="4"/>
      <c r="AS83" s="4"/>
      <c r="AT83" s="4"/>
      <c r="AU83" s="4"/>
      <c r="AV83" s="4"/>
      <c r="AW83" s="4"/>
      <c r="AX83" s="4"/>
      <c r="AY83" s="4"/>
      <c r="AZ83" s="4"/>
      <c r="BA83" s="4"/>
      <c r="BB83" s="4"/>
      <c r="BC83" s="4"/>
      <c r="BD83" s="4"/>
      <c r="BE83" s="4"/>
      <c r="BF83" s="4"/>
      <c r="BG83" s="4"/>
      <c r="BH83" s="4"/>
      <c r="BI83" s="4"/>
      <c r="BJ83" s="4"/>
      <c r="BK83" s="4"/>
      <c r="BL83" s="4"/>
      <c r="BM83" s="4"/>
      <c r="BN83" s="4"/>
      <c r="BO83" s="4"/>
      <c r="BP83" s="4"/>
      <c r="BQ83" s="4"/>
      <c r="BR83" s="4"/>
      <c r="BS83" s="4"/>
      <c r="BT83" s="4"/>
      <c r="BU83" s="4"/>
      <c r="BV83" s="4"/>
      <c r="BW83" s="4"/>
      <c r="BX83" s="4"/>
      <c r="BY83" s="4"/>
      <c r="BZ83" s="4"/>
      <c r="CA83" s="4"/>
      <c r="CB83" s="4"/>
      <c r="CC83" s="4"/>
      <c r="CD83" s="4"/>
      <c r="CE83" s="4"/>
      <c r="CF83" s="4"/>
      <c r="CG83" s="4"/>
      <c r="CH83" s="4"/>
      <c r="CI83" s="4"/>
      <c r="CJ83" s="4"/>
      <c r="CK83" s="4"/>
      <c r="CL83" s="4"/>
      <c r="CM83" s="4"/>
      <c r="CN83" s="4"/>
      <c r="CO83" s="4"/>
      <c r="CP83" s="4"/>
      <c r="CQ83" s="4"/>
      <c r="CR83" s="4"/>
      <c r="CS83" s="4"/>
      <c r="CT83" s="4"/>
      <c r="CU83" s="4"/>
      <c r="CV83" s="4"/>
      <c r="CW83" s="4"/>
      <c r="CX83" s="4"/>
      <c r="CY83" s="4"/>
      <c r="CZ83" s="4"/>
      <c r="DA83" s="4"/>
      <c r="DB83" s="4"/>
      <c r="DC83" s="4"/>
      <c r="DD83" s="4"/>
      <c r="DE83" s="4"/>
      <c r="DF83" s="4"/>
      <c r="DG83" s="4"/>
      <c r="DH83" s="4"/>
      <c r="DI83" s="4"/>
      <c r="DJ83" s="4"/>
      <c r="DK83" s="4"/>
      <c r="DL83" s="4"/>
      <c r="DM83" s="4"/>
      <c r="DN83" s="4"/>
      <c r="DO83" s="4"/>
      <c r="DP83" s="4"/>
      <c r="DQ83" s="4"/>
      <c r="DR83" s="4"/>
      <c r="DS83" s="4"/>
      <c r="DT83" s="4"/>
      <c r="DU83" s="4"/>
      <c r="DV83" s="4"/>
      <c r="DW83" s="4"/>
      <c r="DX83" s="4"/>
      <c r="DY83" s="4"/>
      <c r="DZ83" s="4"/>
      <c r="EA83" s="4"/>
      <c r="EB83" s="4"/>
      <c r="EC83" s="4"/>
      <c r="ED83" s="4"/>
    </row>
    <row r="84" spans="2:134" ht="30" customHeight="1" thickBot="1" x14ac:dyDescent="0.35">
      <c r="B84" s="62" t="s">
        <v>95</v>
      </c>
      <c r="C84" s="13" t="s">
        <v>38</v>
      </c>
      <c r="D84" s="30">
        <v>0</v>
      </c>
      <c r="E84" s="49">
        <f>F83</f>
        <v>46339</v>
      </c>
      <c r="F84" s="49">
        <f>E84+3</f>
        <v>46342</v>
      </c>
      <c r="G84" s="29"/>
      <c r="H84" s="29">
        <f t="shared" si="73"/>
        <v>4</v>
      </c>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c r="AP84" s="4"/>
      <c r="AQ84" s="4"/>
      <c r="AR84" s="4"/>
      <c r="AS84" s="4"/>
      <c r="AT84" s="4"/>
      <c r="AU84" s="4"/>
      <c r="AV84" s="4"/>
      <c r="AW84" s="4"/>
      <c r="AX84" s="4"/>
      <c r="AY84" s="4"/>
      <c r="AZ84" s="4"/>
      <c r="BA84" s="4"/>
      <c r="BB84" s="4"/>
      <c r="BC84" s="4"/>
      <c r="BD84" s="4"/>
      <c r="BE84" s="4"/>
      <c r="BF84" s="4"/>
      <c r="BG84" s="4"/>
      <c r="BH84" s="4"/>
      <c r="BI84" s="4"/>
      <c r="BJ84" s="4"/>
      <c r="BK84" s="4"/>
      <c r="BL84" s="4"/>
      <c r="BM84" s="4"/>
      <c r="BN84" s="4"/>
      <c r="BO84" s="4"/>
      <c r="BP84" s="4"/>
      <c r="BQ84" s="4"/>
      <c r="BR84" s="4"/>
      <c r="BS84" s="4"/>
      <c r="BT84" s="4"/>
      <c r="BU84" s="4"/>
      <c r="BV84" s="4"/>
      <c r="BW84" s="4"/>
      <c r="BX84" s="4"/>
      <c r="BY84" s="4"/>
      <c r="BZ84" s="4"/>
      <c r="CA84" s="4"/>
      <c r="CB84" s="4"/>
      <c r="CC84" s="4"/>
      <c r="CD84" s="4"/>
      <c r="CE84" s="4"/>
      <c r="CF84" s="4"/>
      <c r="CG84" s="4"/>
      <c r="CH84" s="4"/>
      <c r="CI84" s="4"/>
      <c r="CJ84" s="4"/>
      <c r="CK84" s="4"/>
      <c r="CL84" s="4"/>
      <c r="CM84" s="4"/>
      <c r="CN84" s="4"/>
      <c r="CO84" s="4"/>
      <c r="CP84" s="4"/>
      <c r="CQ84" s="4"/>
      <c r="CR84" s="4"/>
      <c r="CS84" s="4"/>
      <c r="CT84" s="4"/>
      <c r="CU84" s="4"/>
      <c r="CV84" s="4"/>
      <c r="CW84" s="4"/>
      <c r="CX84" s="4"/>
      <c r="CY84" s="4"/>
      <c r="CZ84" s="4"/>
      <c r="DA84" s="4"/>
      <c r="DB84" s="4"/>
      <c r="DC84" s="4"/>
      <c r="DD84" s="4"/>
      <c r="DE84" s="4"/>
      <c r="DF84" s="4"/>
      <c r="DG84" s="4"/>
      <c r="DH84" s="4"/>
      <c r="DI84" s="4"/>
      <c r="DJ84" s="4"/>
      <c r="DK84" s="4"/>
      <c r="DL84" s="4"/>
      <c r="DM84" s="4"/>
      <c r="DN84" s="4"/>
      <c r="DO84" s="4"/>
      <c r="DP84" s="4"/>
      <c r="DQ84" s="4"/>
      <c r="DR84" s="4"/>
      <c r="DS84" s="4"/>
      <c r="DT84" s="4"/>
      <c r="DU84" s="4"/>
      <c r="DV84" s="4"/>
      <c r="DW84" s="4"/>
      <c r="DX84" s="4"/>
      <c r="DY84" s="4"/>
      <c r="DZ84" s="4"/>
      <c r="EA84" s="4"/>
      <c r="EB84" s="4"/>
      <c r="EC84" s="4"/>
      <c r="ED84" s="4"/>
    </row>
    <row r="85" spans="2:134" ht="30" customHeight="1" thickBot="1" x14ac:dyDescent="0.35">
      <c r="B85" s="62" t="s">
        <v>96</v>
      </c>
      <c r="C85" s="13" t="s">
        <v>38</v>
      </c>
      <c r="D85" s="30">
        <v>0</v>
      </c>
      <c r="E85" s="49">
        <f>F84</f>
        <v>46342</v>
      </c>
      <c r="F85" s="49">
        <f>E85</f>
        <v>46342</v>
      </c>
      <c r="G85" s="29"/>
      <c r="H85" s="29">
        <f t="shared" si="73"/>
        <v>1</v>
      </c>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c r="AP85" s="4"/>
      <c r="AQ85" s="4"/>
      <c r="AR85" s="4"/>
      <c r="AS85" s="4"/>
      <c r="AT85" s="4"/>
      <c r="AU85" s="4"/>
      <c r="AV85" s="4"/>
      <c r="AW85" s="4"/>
      <c r="AX85" s="4"/>
      <c r="AY85" s="4"/>
      <c r="AZ85" s="4"/>
      <c r="BA85" s="4"/>
      <c r="BB85" s="4"/>
      <c r="BC85" s="4"/>
      <c r="BD85" s="4"/>
      <c r="BE85" s="4"/>
      <c r="BF85" s="4"/>
      <c r="BG85" s="4"/>
      <c r="BH85" s="4"/>
      <c r="BI85" s="4"/>
      <c r="BJ85" s="4"/>
      <c r="BK85" s="4"/>
      <c r="BL85" s="4"/>
      <c r="BM85" s="4"/>
      <c r="BN85" s="4"/>
      <c r="BO85" s="4"/>
      <c r="BP85" s="4"/>
      <c r="BQ85" s="4"/>
      <c r="BR85" s="4"/>
      <c r="BS85" s="4"/>
      <c r="BT85" s="4"/>
      <c r="BU85" s="4"/>
      <c r="BV85" s="4"/>
      <c r="BW85" s="4"/>
      <c r="BX85" s="4"/>
      <c r="BY85" s="4"/>
      <c r="BZ85" s="4"/>
      <c r="CA85" s="4"/>
      <c r="CB85" s="4"/>
      <c r="CC85" s="4"/>
      <c r="CD85" s="4"/>
      <c r="CE85" s="4"/>
      <c r="CF85" s="4"/>
      <c r="CG85" s="4"/>
      <c r="CH85" s="4"/>
      <c r="CI85" s="4"/>
      <c r="CJ85" s="4"/>
      <c r="CK85" s="4"/>
      <c r="CL85" s="4"/>
      <c r="CM85" s="4"/>
      <c r="CN85" s="4"/>
      <c r="CO85" s="4"/>
      <c r="CP85" s="4"/>
      <c r="CQ85" s="4"/>
      <c r="CR85" s="4"/>
      <c r="CS85" s="4"/>
      <c r="CT85" s="4"/>
      <c r="CU85" s="4"/>
      <c r="CV85" s="4"/>
      <c r="CW85" s="4"/>
      <c r="CX85" s="4"/>
      <c r="CY85" s="4"/>
      <c r="CZ85" s="4"/>
      <c r="DA85" s="4"/>
      <c r="DB85" s="4"/>
      <c r="DC85" s="4"/>
      <c r="DD85" s="4"/>
      <c r="DE85" s="4"/>
      <c r="DF85" s="4"/>
      <c r="DG85" s="4"/>
      <c r="DH85" s="4"/>
      <c r="DI85" s="4"/>
      <c r="DJ85" s="4"/>
      <c r="DK85" s="4"/>
      <c r="DL85" s="4"/>
      <c r="DM85" s="4"/>
      <c r="DN85" s="4"/>
      <c r="DO85" s="4"/>
      <c r="DP85" s="4"/>
      <c r="DQ85" s="4"/>
      <c r="DR85" s="4"/>
      <c r="DS85" s="4"/>
      <c r="DT85" s="4"/>
      <c r="DU85" s="4"/>
      <c r="DV85" s="4"/>
      <c r="DW85" s="4"/>
      <c r="DX85" s="4"/>
      <c r="DY85" s="4"/>
      <c r="DZ85" s="4"/>
      <c r="EA85" s="4"/>
      <c r="EB85" s="4"/>
      <c r="EC85" s="4"/>
      <c r="ED85" s="4"/>
    </row>
    <row r="86" spans="2:134" ht="30" customHeight="1" thickBot="1" x14ac:dyDescent="0.35">
      <c r="B86" s="57" t="s">
        <v>97</v>
      </c>
      <c r="C86" s="54" t="s">
        <v>38</v>
      </c>
      <c r="D86" s="55"/>
      <c r="E86" s="56"/>
      <c r="F86" s="56"/>
      <c r="G86" s="29"/>
      <c r="H86" s="29" t="str">
        <f t="shared" si="73"/>
        <v/>
      </c>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c r="AP86" s="4"/>
      <c r="AQ86" s="4"/>
      <c r="AR86" s="4"/>
      <c r="AS86" s="4"/>
      <c r="AT86" s="4"/>
      <c r="AU86" s="4"/>
      <c r="AV86" s="4"/>
      <c r="AW86" s="4"/>
      <c r="AX86" s="4"/>
      <c r="AY86" s="4"/>
      <c r="AZ86" s="4"/>
      <c r="BA86" s="4"/>
      <c r="BB86" s="4"/>
      <c r="BC86" s="4"/>
      <c r="BD86" s="4"/>
      <c r="BE86" s="4"/>
      <c r="BF86" s="4"/>
      <c r="BG86" s="4"/>
      <c r="BH86" s="4"/>
      <c r="BI86" s="4"/>
      <c r="BJ86" s="4"/>
      <c r="BK86" s="4"/>
      <c r="BL86" s="4"/>
      <c r="BM86" s="4"/>
      <c r="BN86" s="4"/>
      <c r="BO86" s="4"/>
      <c r="BP86" s="4"/>
      <c r="BQ86" s="4"/>
      <c r="BR86" s="4"/>
      <c r="BS86" s="4"/>
      <c r="BT86" s="4"/>
      <c r="BU86" s="4"/>
      <c r="BV86" s="4"/>
      <c r="BW86" s="4"/>
      <c r="BX86" s="4"/>
      <c r="BY86" s="4"/>
      <c r="BZ86" s="4"/>
      <c r="CA86" s="4"/>
      <c r="CB86" s="4"/>
      <c r="CC86" s="4"/>
      <c r="CD86" s="4"/>
      <c r="CE86" s="4"/>
      <c r="CF86" s="4"/>
      <c r="CG86" s="4"/>
      <c r="CH86" s="4"/>
      <c r="CI86" s="4"/>
      <c r="CJ86" s="4"/>
      <c r="CK86" s="4"/>
      <c r="CL86" s="4"/>
      <c r="CM86" s="4"/>
      <c r="CN86" s="4"/>
      <c r="CO86" s="4"/>
      <c r="CP86" s="4"/>
      <c r="CQ86" s="4"/>
      <c r="CR86" s="4"/>
      <c r="CS86" s="4"/>
      <c r="CT86" s="4"/>
      <c r="CU86" s="4"/>
      <c r="CV86" s="4"/>
      <c r="CW86" s="4"/>
      <c r="CX86" s="4"/>
      <c r="CY86" s="4"/>
      <c r="CZ86" s="4"/>
      <c r="DA86" s="4"/>
      <c r="DB86" s="4"/>
      <c r="DC86" s="4"/>
      <c r="DD86" s="4"/>
      <c r="DE86" s="4"/>
      <c r="DF86" s="4"/>
      <c r="DG86" s="4"/>
      <c r="DH86" s="4"/>
      <c r="DI86" s="4"/>
      <c r="DJ86" s="4"/>
      <c r="DK86" s="4"/>
      <c r="DL86" s="4"/>
      <c r="DM86" s="4"/>
      <c r="DN86" s="4"/>
      <c r="DO86" s="4"/>
      <c r="DP86" s="4"/>
      <c r="DQ86" s="4"/>
      <c r="DR86" s="4"/>
      <c r="DS86" s="4"/>
      <c r="DT86" s="4"/>
      <c r="DU86" s="4"/>
      <c r="DV86" s="4"/>
      <c r="DW86" s="4"/>
      <c r="DX86" s="4"/>
      <c r="DY86" s="4"/>
      <c r="DZ86" s="4"/>
      <c r="EA86" s="4"/>
      <c r="EB86" s="4"/>
      <c r="EC86" s="4"/>
      <c r="ED86" s="4"/>
    </row>
    <row r="87" spans="2:134" ht="30" customHeight="1" thickBot="1" x14ac:dyDescent="0.35">
      <c r="B87" s="27" t="s">
        <v>230</v>
      </c>
      <c r="C87" s="12" t="s">
        <v>38</v>
      </c>
      <c r="D87" s="28"/>
      <c r="E87" s="47"/>
      <c r="F87" s="48"/>
      <c r="G87" s="29"/>
      <c r="H87" s="29" t="str">
        <f t="shared" ref="H87:H150" si="74">IF(OR(ISBLANK(タスク_開始),ISBLANK(タスク_終了)),"",タスク_終了-タスク_開始+1)</f>
        <v/>
      </c>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c r="AP87" s="4"/>
      <c r="AQ87" s="4"/>
      <c r="AR87" s="4"/>
      <c r="AS87" s="4"/>
      <c r="AT87" s="4"/>
      <c r="AU87" s="4"/>
      <c r="AV87" s="4"/>
      <c r="AW87" s="4"/>
      <c r="AX87" s="4"/>
      <c r="AY87" s="4"/>
      <c r="AZ87" s="4"/>
      <c r="BA87" s="4"/>
      <c r="BB87" s="4"/>
      <c r="BC87" s="4"/>
      <c r="BD87" s="4"/>
      <c r="BE87" s="4"/>
      <c r="BF87" s="4"/>
      <c r="BG87" s="4"/>
      <c r="BH87" s="4"/>
      <c r="BI87" s="4"/>
      <c r="BJ87" s="4"/>
      <c r="BK87" s="4"/>
      <c r="BL87" s="4"/>
      <c r="BM87" s="4"/>
      <c r="BN87" s="4"/>
      <c r="BO87" s="4"/>
      <c r="BP87" s="4"/>
      <c r="BQ87" s="4"/>
      <c r="BR87" s="4"/>
      <c r="BS87" s="4"/>
      <c r="BT87" s="4"/>
      <c r="BU87" s="4"/>
      <c r="BV87" s="4"/>
      <c r="BW87" s="4"/>
      <c r="BX87" s="4"/>
      <c r="BY87" s="4"/>
      <c r="BZ87" s="4"/>
      <c r="CA87" s="4"/>
      <c r="CB87" s="4"/>
      <c r="CC87" s="4"/>
      <c r="CD87" s="4"/>
      <c r="CE87" s="4"/>
      <c r="CF87" s="4"/>
      <c r="CG87" s="4"/>
      <c r="CH87" s="4"/>
      <c r="CI87" s="4"/>
      <c r="CJ87" s="4"/>
      <c r="CK87" s="4"/>
      <c r="CL87" s="4"/>
      <c r="CM87" s="4"/>
      <c r="CN87" s="4"/>
      <c r="CO87" s="4"/>
      <c r="CP87" s="4"/>
      <c r="CQ87" s="4"/>
      <c r="CR87" s="4"/>
      <c r="CS87" s="4"/>
      <c r="CT87" s="4"/>
      <c r="CU87" s="4"/>
      <c r="CV87" s="4"/>
      <c r="CW87" s="4"/>
      <c r="CX87" s="4"/>
      <c r="CY87" s="4"/>
      <c r="CZ87" s="4"/>
      <c r="DA87" s="4"/>
      <c r="DB87" s="4"/>
      <c r="DC87" s="4"/>
      <c r="DD87" s="4"/>
      <c r="DE87" s="4"/>
      <c r="DF87" s="4"/>
      <c r="DG87" s="4"/>
      <c r="DH87" s="4"/>
      <c r="DI87" s="4"/>
      <c r="DJ87" s="4"/>
      <c r="DK87" s="4"/>
      <c r="DL87" s="4"/>
      <c r="DM87" s="4"/>
      <c r="DN87" s="4"/>
      <c r="DO87" s="4"/>
      <c r="DP87" s="4"/>
      <c r="DQ87" s="4"/>
      <c r="DR87" s="4"/>
      <c r="DS87" s="4"/>
      <c r="DT87" s="4"/>
      <c r="DU87" s="4"/>
      <c r="DV87" s="4"/>
      <c r="DW87" s="4"/>
      <c r="DX87" s="4"/>
      <c r="DY87" s="4"/>
      <c r="DZ87" s="4"/>
      <c r="EA87" s="4"/>
      <c r="EB87" s="4"/>
      <c r="EC87" s="4"/>
      <c r="ED87" s="4"/>
    </row>
    <row r="88" spans="2:134" ht="30" customHeight="1" thickBot="1" x14ac:dyDescent="0.35">
      <c r="B88" s="77" t="s">
        <v>235</v>
      </c>
      <c r="C88" s="13" t="s">
        <v>38</v>
      </c>
      <c r="D88" s="30">
        <v>0</v>
      </c>
      <c r="E88" s="49">
        <f>F85+1</f>
        <v>46343</v>
      </c>
      <c r="F88" s="49">
        <f>E88</f>
        <v>46343</v>
      </c>
      <c r="G88" s="29"/>
      <c r="H88" s="29">
        <f t="shared" si="74"/>
        <v>1</v>
      </c>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c r="AP88" s="4"/>
      <c r="AQ88" s="4"/>
      <c r="AR88" s="4"/>
      <c r="AS88" s="4"/>
      <c r="AT88" s="4"/>
      <c r="AU88" s="4"/>
      <c r="AV88" s="4"/>
      <c r="AW88" s="4"/>
      <c r="AX88" s="4"/>
      <c r="AY88" s="4"/>
      <c r="AZ88" s="4"/>
      <c r="BA88" s="4"/>
      <c r="BB88" s="4"/>
      <c r="BC88" s="4"/>
      <c r="BD88" s="4"/>
      <c r="BE88" s="4"/>
      <c r="BF88" s="4"/>
      <c r="BG88" s="4"/>
      <c r="BH88" s="4"/>
      <c r="BI88" s="4"/>
      <c r="BJ88" s="4"/>
      <c r="BK88" s="4"/>
      <c r="BL88" s="4"/>
      <c r="BM88" s="4"/>
      <c r="BN88" s="4"/>
      <c r="BO88" s="4"/>
      <c r="BP88" s="4"/>
      <c r="BQ88" s="4"/>
      <c r="BR88" s="4"/>
      <c r="BS88" s="4"/>
      <c r="BT88" s="4"/>
      <c r="BU88" s="4"/>
      <c r="BV88" s="4"/>
      <c r="BW88" s="4"/>
      <c r="BX88" s="4"/>
      <c r="BY88" s="4"/>
      <c r="BZ88" s="4"/>
      <c r="CA88" s="4"/>
      <c r="CB88" s="4"/>
      <c r="CC88" s="4"/>
      <c r="CD88" s="4"/>
      <c r="CE88" s="4"/>
      <c r="CF88" s="4"/>
      <c r="CG88" s="4"/>
      <c r="CH88" s="4"/>
      <c r="CI88" s="4"/>
      <c r="CJ88" s="4"/>
      <c r="CK88" s="4"/>
      <c r="CL88" s="4"/>
      <c r="CM88" s="4"/>
      <c r="CN88" s="4"/>
      <c r="CO88" s="4"/>
      <c r="CP88" s="4"/>
      <c r="CQ88" s="4"/>
      <c r="CR88" s="4"/>
      <c r="CS88" s="4"/>
      <c r="CT88" s="4"/>
      <c r="CU88" s="4"/>
      <c r="CV88" s="4"/>
      <c r="CW88" s="4"/>
      <c r="CX88" s="4"/>
      <c r="CY88" s="4"/>
      <c r="CZ88" s="4"/>
      <c r="DA88" s="4"/>
      <c r="DB88" s="4"/>
      <c r="DC88" s="4"/>
      <c r="DD88" s="4"/>
      <c r="DE88" s="4"/>
      <c r="DF88" s="4"/>
      <c r="DG88" s="4"/>
      <c r="DH88" s="4"/>
      <c r="DI88" s="4"/>
      <c r="DJ88" s="4"/>
      <c r="DK88" s="4"/>
      <c r="DL88" s="4"/>
      <c r="DM88" s="4"/>
      <c r="DN88" s="4"/>
      <c r="DO88" s="4"/>
      <c r="DP88" s="4"/>
      <c r="DQ88" s="4"/>
      <c r="DR88" s="4"/>
      <c r="DS88" s="4"/>
      <c r="DT88" s="4"/>
      <c r="DU88" s="4"/>
      <c r="DV88" s="4"/>
      <c r="DW88" s="4"/>
      <c r="DX88" s="4"/>
      <c r="DY88" s="4"/>
      <c r="DZ88" s="4"/>
      <c r="EA88" s="4"/>
      <c r="EB88" s="4"/>
      <c r="EC88" s="4"/>
      <c r="ED88" s="4"/>
    </row>
    <row r="89" spans="2:134" ht="30" customHeight="1" thickBot="1" x14ac:dyDescent="0.35">
      <c r="B89" s="77" t="s">
        <v>236</v>
      </c>
      <c r="C89" s="13" t="s">
        <v>38</v>
      </c>
      <c r="D89" s="30">
        <v>0</v>
      </c>
      <c r="E89" s="49">
        <f>F88</f>
        <v>46343</v>
      </c>
      <c r="F89" s="49">
        <f>E89</f>
        <v>46343</v>
      </c>
      <c r="G89" s="29"/>
      <c r="H89" s="29">
        <f t="shared" si="74"/>
        <v>1</v>
      </c>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c r="AP89" s="4"/>
      <c r="AQ89" s="4"/>
      <c r="AR89" s="4"/>
      <c r="AS89" s="4"/>
      <c r="AT89" s="4"/>
      <c r="AU89" s="4"/>
      <c r="AV89" s="4"/>
      <c r="AW89" s="4"/>
      <c r="AX89" s="4"/>
      <c r="AY89" s="4"/>
      <c r="AZ89" s="4"/>
      <c r="BA89" s="4"/>
      <c r="BB89" s="4"/>
      <c r="BC89" s="4"/>
      <c r="BD89" s="4"/>
      <c r="BE89" s="4"/>
      <c r="BF89" s="4"/>
      <c r="BG89" s="4"/>
      <c r="BH89" s="4"/>
      <c r="BI89" s="4"/>
      <c r="BJ89" s="4"/>
      <c r="BK89" s="4"/>
      <c r="BL89" s="4"/>
      <c r="BM89" s="4"/>
      <c r="BN89" s="4"/>
      <c r="BO89" s="4"/>
      <c r="BP89" s="4"/>
      <c r="BQ89" s="4"/>
      <c r="BR89" s="4"/>
      <c r="BS89" s="4"/>
      <c r="BT89" s="4"/>
      <c r="BU89" s="4"/>
      <c r="BV89" s="4"/>
      <c r="BW89" s="4"/>
      <c r="BX89" s="4"/>
      <c r="BY89" s="4"/>
      <c r="BZ89" s="4"/>
      <c r="CA89" s="4"/>
      <c r="CB89" s="4"/>
      <c r="CC89" s="4"/>
      <c r="CD89" s="4"/>
      <c r="CE89" s="4"/>
      <c r="CF89" s="4"/>
      <c r="CG89" s="4"/>
      <c r="CH89" s="4"/>
      <c r="CI89" s="4"/>
      <c r="CJ89" s="4"/>
      <c r="CK89" s="4"/>
      <c r="CL89" s="4"/>
      <c r="CM89" s="4"/>
      <c r="CN89" s="4"/>
      <c r="CO89" s="4"/>
      <c r="CP89" s="4"/>
      <c r="CQ89" s="4"/>
      <c r="CR89" s="4"/>
      <c r="CS89" s="4"/>
      <c r="CT89" s="4"/>
      <c r="CU89" s="4"/>
      <c r="CV89" s="4"/>
      <c r="CW89" s="4"/>
      <c r="CX89" s="4"/>
      <c r="CY89" s="4"/>
      <c r="CZ89" s="4"/>
      <c r="DA89" s="4"/>
      <c r="DB89" s="4"/>
      <c r="DC89" s="4"/>
      <c r="DD89" s="4"/>
      <c r="DE89" s="4"/>
      <c r="DF89" s="4"/>
      <c r="DG89" s="4"/>
      <c r="DH89" s="4"/>
      <c r="DI89" s="4"/>
      <c r="DJ89" s="4"/>
      <c r="DK89" s="4"/>
      <c r="DL89" s="4"/>
      <c r="DM89" s="4"/>
      <c r="DN89" s="4"/>
      <c r="DO89" s="4"/>
      <c r="DP89" s="4"/>
      <c r="DQ89" s="4"/>
      <c r="DR89" s="4"/>
      <c r="DS89" s="4"/>
      <c r="DT89" s="4"/>
      <c r="DU89" s="4"/>
      <c r="DV89" s="4"/>
      <c r="DW89" s="4"/>
      <c r="DX89" s="4"/>
      <c r="DY89" s="4"/>
      <c r="DZ89" s="4"/>
      <c r="EA89" s="4"/>
      <c r="EB89" s="4"/>
      <c r="EC89" s="4"/>
      <c r="ED89" s="4"/>
    </row>
    <row r="90" spans="2:134" ht="30" customHeight="1" thickBot="1" x14ac:dyDescent="0.35">
      <c r="B90" s="77" t="s">
        <v>237</v>
      </c>
      <c r="C90" s="13" t="s">
        <v>38</v>
      </c>
      <c r="D90" s="30">
        <v>0</v>
      </c>
      <c r="E90" s="49">
        <f>F89</f>
        <v>46343</v>
      </c>
      <c r="F90" s="49">
        <f>E90</f>
        <v>46343</v>
      </c>
      <c r="G90" s="29"/>
      <c r="H90" s="29">
        <f t="shared" si="74"/>
        <v>1</v>
      </c>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c r="AP90" s="4"/>
      <c r="AQ90" s="4"/>
      <c r="AR90" s="4"/>
      <c r="AS90" s="4"/>
      <c r="AT90" s="4"/>
      <c r="AU90" s="4"/>
      <c r="AV90" s="4"/>
      <c r="AW90" s="4"/>
      <c r="AX90" s="4"/>
      <c r="AY90" s="4"/>
      <c r="AZ90" s="4"/>
      <c r="BA90" s="4"/>
      <c r="BB90" s="4"/>
      <c r="BC90" s="4"/>
      <c r="BD90" s="4"/>
      <c r="BE90" s="4"/>
      <c r="BF90" s="4"/>
      <c r="BG90" s="4"/>
      <c r="BH90" s="4"/>
      <c r="BI90" s="4"/>
      <c r="BJ90" s="4"/>
      <c r="BK90" s="4"/>
      <c r="BL90" s="4"/>
      <c r="BM90" s="4"/>
      <c r="BN90" s="4"/>
      <c r="BO90" s="4"/>
      <c r="BP90" s="4"/>
      <c r="BQ90" s="4"/>
      <c r="BR90" s="4"/>
      <c r="BS90" s="4"/>
      <c r="BT90" s="4"/>
      <c r="BU90" s="4"/>
      <c r="BV90" s="4"/>
      <c r="BW90" s="4"/>
      <c r="BX90" s="4"/>
      <c r="BY90" s="4"/>
      <c r="BZ90" s="4"/>
      <c r="CA90" s="4"/>
      <c r="CB90" s="4"/>
      <c r="CC90" s="4"/>
      <c r="CD90" s="4"/>
      <c r="CE90" s="4"/>
      <c r="CF90" s="4"/>
      <c r="CG90" s="4"/>
      <c r="CH90" s="4"/>
      <c r="CI90" s="4"/>
      <c r="CJ90" s="4"/>
      <c r="CK90" s="4"/>
      <c r="CL90" s="4"/>
      <c r="CM90" s="4"/>
      <c r="CN90" s="4"/>
      <c r="CO90" s="4"/>
      <c r="CP90" s="4"/>
      <c r="CQ90" s="4"/>
      <c r="CR90" s="4"/>
      <c r="CS90" s="4"/>
      <c r="CT90" s="4"/>
      <c r="CU90" s="4"/>
      <c r="CV90" s="4"/>
      <c r="CW90" s="4"/>
      <c r="CX90" s="4"/>
      <c r="CY90" s="4"/>
      <c r="CZ90" s="4"/>
      <c r="DA90" s="4"/>
      <c r="DB90" s="4"/>
      <c r="DC90" s="4"/>
      <c r="DD90" s="4"/>
      <c r="DE90" s="4"/>
      <c r="DF90" s="4"/>
      <c r="DG90" s="4"/>
      <c r="DH90" s="4"/>
      <c r="DI90" s="4"/>
      <c r="DJ90" s="4"/>
      <c r="DK90" s="4"/>
      <c r="DL90" s="4"/>
      <c r="DM90" s="4"/>
      <c r="DN90" s="4"/>
      <c r="DO90" s="4"/>
      <c r="DP90" s="4"/>
      <c r="DQ90" s="4"/>
      <c r="DR90" s="4"/>
      <c r="DS90" s="4"/>
      <c r="DT90" s="4"/>
      <c r="DU90" s="4"/>
      <c r="DV90" s="4"/>
      <c r="DW90" s="4"/>
      <c r="DX90" s="4"/>
      <c r="DY90" s="4"/>
      <c r="DZ90" s="4"/>
      <c r="EA90" s="4"/>
      <c r="EB90" s="4"/>
      <c r="EC90" s="4"/>
      <c r="ED90" s="4"/>
    </row>
    <row r="91" spans="2:134" ht="30" customHeight="1" thickBot="1" x14ac:dyDescent="0.35">
      <c r="B91" s="27" t="s">
        <v>87</v>
      </c>
      <c r="C91" s="12" t="s">
        <v>38</v>
      </c>
      <c r="D91" s="28"/>
      <c r="E91" s="47"/>
      <c r="F91" s="48"/>
      <c r="G91" s="29"/>
      <c r="H91" s="29" t="str">
        <f t="shared" si="74"/>
        <v/>
      </c>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c r="AP91" s="4"/>
      <c r="AQ91" s="4"/>
      <c r="AR91" s="4"/>
      <c r="AS91" s="4"/>
      <c r="AT91" s="4"/>
      <c r="AU91" s="4"/>
      <c r="AV91" s="4"/>
      <c r="AW91" s="4"/>
      <c r="AX91" s="4"/>
      <c r="AY91" s="4"/>
      <c r="AZ91" s="4"/>
      <c r="BA91" s="4"/>
      <c r="BB91" s="4"/>
      <c r="BC91" s="4"/>
      <c r="BD91" s="4"/>
      <c r="BE91" s="4"/>
      <c r="BF91" s="4"/>
      <c r="BG91" s="4"/>
      <c r="BH91" s="4"/>
      <c r="BI91" s="4"/>
      <c r="BJ91" s="4"/>
      <c r="BK91" s="4"/>
      <c r="BL91" s="4"/>
      <c r="BM91" s="4"/>
      <c r="BN91" s="4"/>
      <c r="BO91" s="4"/>
      <c r="BP91" s="4"/>
      <c r="BQ91" s="4"/>
      <c r="BR91" s="4"/>
      <c r="BS91" s="4"/>
      <c r="BT91" s="4"/>
      <c r="BU91" s="4"/>
      <c r="BV91" s="4"/>
      <c r="BW91" s="4"/>
      <c r="BX91" s="4"/>
      <c r="BY91" s="4"/>
      <c r="BZ91" s="4"/>
      <c r="CA91" s="4"/>
      <c r="CB91" s="4"/>
      <c r="CC91" s="4"/>
      <c r="CD91" s="4"/>
      <c r="CE91" s="4"/>
      <c r="CF91" s="4"/>
      <c r="CG91" s="4"/>
      <c r="CH91" s="4"/>
      <c r="CI91" s="4"/>
      <c r="CJ91" s="4"/>
      <c r="CK91" s="4"/>
      <c r="CL91" s="4"/>
      <c r="CM91" s="4"/>
      <c r="CN91" s="4"/>
      <c r="CO91" s="4"/>
      <c r="CP91" s="4"/>
      <c r="CQ91" s="4"/>
      <c r="CR91" s="4"/>
      <c r="CS91" s="4"/>
      <c r="CT91" s="4"/>
      <c r="CU91" s="4"/>
      <c r="CV91" s="4"/>
      <c r="CW91" s="4"/>
      <c r="CX91" s="4"/>
      <c r="CY91" s="4"/>
      <c r="CZ91" s="4"/>
      <c r="DA91" s="4"/>
      <c r="DB91" s="4"/>
      <c r="DC91" s="4"/>
      <c r="DD91" s="4"/>
      <c r="DE91" s="4"/>
      <c r="DF91" s="4"/>
      <c r="DG91" s="4"/>
      <c r="DH91" s="4"/>
      <c r="DI91" s="4"/>
      <c r="DJ91" s="4"/>
      <c r="DK91" s="4"/>
      <c r="DL91" s="4"/>
      <c r="DM91" s="4"/>
      <c r="DN91" s="4"/>
      <c r="DO91" s="4"/>
      <c r="DP91" s="4"/>
      <c r="DQ91" s="4"/>
      <c r="DR91" s="4"/>
      <c r="DS91" s="4"/>
      <c r="DT91" s="4"/>
      <c r="DU91" s="4"/>
      <c r="DV91" s="4"/>
      <c r="DW91" s="4"/>
      <c r="DX91" s="4"/>
      <c r="DY91" s="4"/>
      <c r="DZ91" s="4"/>
      <c r="EA91" s="4"/>
      <c r="EB91" s="4"/>
      <c r="EC91" s="4"/>
      <c r="ED91" s="4"/>
    </row>
    <row r="92" spans="2:134" ht="30" customHeight="1" thickBot="1" x14ac:dyDescent="0.35">
      <c r="B92" s="62" t="s">
        <v>88</v>
      </c>
      <c r="C92" s="13" t="s">
        <v>38</v>
      </c>
      <c r="D92" s="30">
        <v>0</v>
      </c>
      <c r="E92" s="49">
        <f>F90+1</f>
        <v>46344</v>
      </c>
      <c r="F92" s="49">
        <f>E92</f>
        <v>46344</v>
      </c>
      <c r="G92" s="29"/>
      <c r="H92" s="29">
        <f t="shared" si="74"/>
        <v>1</v>
      </c>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c r="AP92" s="4"/>
      <c r="AQ92" s="4"/>
      <c r="AR92" s="4"/>
      <c r="AS92" s="4"/>
      <c r="AT92" s="4"/>
      <c r="AU92" s="4"/>
      <c r="AV92" s="4"/>
      <c r="AW92" s="4"/>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row>
    <row r="93" spans="2:134" ht="30" customHeight="1" thickBot="1" x14ac:dyDescent="0.35">
      <c r="B93" s="27" t="s">
        <v>98</v>
      </c>
      <c r="C93" s="12" t="s">
        <v>38</v>
      </c>
      <c r="D93" s="28"/>
      <c r="E93" s="47"/>
      <c r="F93" s="48"/>
      <c r="G93" s="29"/>
      <c r="H93" s="29" t="str">
        <f t="shared" si="74"/>
        <v/>
      </c>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c r="AP93" s="4"/>
      <c r="AQ93" s="4"/>
      <c r="AR93" s="4"/>
      <c r="AS93" s="4"/>
      <c r="AT93" s="4"/>
      <c r="AU93" s="4"/>
      <c r="AV93" s="4"/>
      <c r="AW93" s="4"/>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row>
    <row r="94" spans="2:134" ht="30" customHeight="1" thickBot="1" x14ac:dyDescent="0.35">
      <c r="B94" s="62" t="s">
        <v>99</v>
      </c>
      <c r="C94" s="13" t="s">
        <v>38</v>
      </c>
      <c r="D94" s="30">
        <v>0</v>
      </c>
      <c r="E94" s="49">
        <f>F92</f>
        <v>46344</v>
      </c>
      <c r="F94" s="49">
        <f>E94+1</f>
        <v>46345</v>
      </c>
      <c r="G94" s="29"/>
      <c r="H94" s="29">
        <f t="shared" si="74"/>
        <v>2</v>
      </c>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c r="AP94" s="4"/>
      <c r="AQ94" s="4"/>
      <c r="AR94" s="4"/>
      <c r="AS94" s="4"/>
      <c r="AT94" s="4"/>
      <c r="AU94" s="4"/>
      <c r="AV94" s="4"/>
      <c r="AW94" s="4"/>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row>
    <row r="95" spans="2:134" ht="30" customHeight="1" thickBot="1" x14ac:dyDescent="0.35">
      <c r="B95" s="62" t="s">
        <v>100</v>
      </c>
      <c r="C95" s="13" t="s">
        <v>38</v>
      </c>
      <c r="D95" s="30">
        <v>0</v>
      </c>
      <c r="E95" s="49">
        <f>F94</f>
        <v>46345</v>
      </c>
      <c r="F95" s="49">
        <f>E95+1</f>
        <v>46346</v>
      </c>
      <c r="G95" s="29"/>
      <c r="H95" s="29">
        <f t="shared" si="74"/>
        <v>2</v>
      </c>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c r="AP95" s="4"/>
      <c r="AQ95" s="4"/>
      <c r="AR95" s="4"/>
      <c r="AS95" s="4"/>
      <c r="AT95" s="4"/>
      <c r="AU95" s="4"/>
      <c r="AV95" s="4"/>
      <c r="AW95" s="4"/>
      <c r="AX95" s="4"/>
      <c r="AY95" s="4"/>
      <c r="AZ95" s="4"/>
      <c r="BA95" s="4"/>
      <c r="BB95" s="4"/>
      <c r="BC95" s="4"/>
      <c r="BD95" s="4"/>
      <c r="BE95" s="4"/>
      <c r="BF95" s="4"/>
      <c r="BG95" s="4"/>
      <c r="BH95" s="4"/>
      <c r="BI95" s="4"/>
      <c r="BJ95" s="4"/>
      <c r="BK95" s="4"/>
      <c r="BL95" s="4"/>
      <c r="BM95" s="4"/>
      <c r="BN95" s="4"/>
      <c r="BO95" s="4"/>
      <c r="BP95" s="4"/>
      <c r="BQ95" s="4"/>
      <c r="BR95" s="4"/>
      <c r="BS95" s="4"/>
      <c r="BT95" s="4"/>
      <c r="BU95" s="4"/>
      <c r="BV95" s="4"/>
      <c r="BW95" s="4"/>
      <c r="BX95" s="4"/>
      <c r="BY95" s="4"/>
      <c r="BZ95" s="4"/>
      <c r="CA95" s="4"/>
      <c r="CB95" s="4"/>
      <c r="CC95" s="4"/>
      <c r="CD95" s="4"/>
      <c r="CE95" s="4"/>
      <c r="CF95" s="4"/>
      <c r="CG95" s="4"/>
      <c r="CH95" s="4"/>
      <c r="CI95" s="4"/>
      <c r="CJ95" s="4"/>
      <c r="CK95" s="4"/>
      <c r="CL95" s="4"/>
      <c r="CM95" s="4"/>
      <c r="CN95" s="4"/>
      <c r="CO95" s="4"/>
      <c r="CP95" s="4"/>
      <c r="CQ95" s="4"/>
      <c r="CR95" s="4"/>
      <c r="CS95" s="4"/>
      <c r="CT95" s="4"/>
      <c r="CU95" s="4"/>
      <c r="CV95" s="4"/>
      <c r="CW95" s="4"/>
      <c r="CX95" s="4"/>
      <c r="CY95" s="4"/>
      <c r="CZ95" s="4"/>
      <c r="DA95" s="4"/>
      <c r="DB95" s="4"/>
      <c r="DC95" s="4"/>
      <c r="DD95" s="4"/>
      <c r="DE95" s="4"/>
      <c r="DF95" s="4"/>
      <c r="DG95" s="4"/>
      <c r="DH95" s="4"/>
      <c r="DI95" s="4"/>
      <c r="DJ95" s="4"/>
      <c r="DK95" s="4"/>
      <c r="DL95" s="4"/>
      <c r="DM95" s="4"/>
      <c r="DN95" s="4"/>
      <c r="DO95" s="4"/>
      <c r="DP95" s="4"/>
      <c r="DQ95" s="4"/>
      <c r="DR95" s="4"/>
      <c r="DS95" s="4"/>
      <c r="DT95" s="4"/>
      <c r="DU95" s="4"/>
      <c r="DV95" s="4"/>
      <c r="DW95" s="4"/>
      <c r="DX95" s="4"/>
      <c r="DY95" s="4"/>
      <c r="DZ95" s="4"/>
      <c r="EA95" s="4"/>
      <c r="EB95" s="4"/>
      <c r="EC95" s="4"/>
      <c r="ED95" s="4"/>
    </row>
    <row r="96" spans="2:134" ht="30" customHeight="1" thickBot="1" x14ac:dyDescent="0.35">
      <c r="B96" s="77" t="s">
        <v>249</v>
      </c>
      <c r="C96" s="13" t="s">
        <v>38</v>
      </c>
      <c r="D96" s="30">
        <v>0</v>
      </c>
      <c r="E96" s="49"/>
      <c r="F96" s="49"/>
      <c r="G96" s="29"/>
      <c r="H96" s="29" t="str">
        <f t="shared" si="74"/>
        <v/>
      </c>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c r="AP96" s="4"/>
      <c r="AQ96" s="4"/>
      <c r="AR96" s="4"/>
      <c r="AS96" s="4"/>
      <c r="AT96" s="4"/>
      <c r="AU96" s="4"/>
      <c r="AV96" s="4"/>
      <c r="AW96" s="4"/>
      <c r="AX96" s="4"/>
      <c r="AY96" s="4"/>
      <c r="AZ96" s="4"/>
      <c r="BA96" s="4"/>
      <c r="BB96" s="4"/>
      <c r="BC96" s="4"/>
      <c r="BD96" s="4"/>
      <c r="BE96" s="4"/>
      <c r="BF96" s="4"/>
      <c r="BG96" s="4"/>
      <c r="BH96" s="4"/>
      <c r="BI96" s="4"/>
      <c r="BJ96" s="4"/>
      <c r="BK96" s="4"/>
      <c r="BL96" s="4"/>
      <c r="BM96" s="4"/>
      <c r="BN96" s="4"/>
      <c r="BO96" s="4"/>
      <c r="BP96" s="4"/>
      <c r="BQ96" s="4"/>
      <c r="BR96" s="4"/>
      <c r="BS96" s="4"/>
      <c r="BT96" s="4"/>
      <c r="BU96" s="4"/>
      <c r="BV96" s="4"/>
      <c r="BW96" s="4"/>
      <c r="BX96" s="4"/>
      <c r="BY96" s="4"/>
      <c r="BZ96" s="4"/>
      <c r="CA96" s="4"/>
      <c r="CB96" s="4"/>
      <c r="CC96" s="4"/>
      <c r="CD96" s="4"/>
      <c r="CE96" s="4"/>
      <c r="CF96" s="4"/>
      <c r="CG96" s="4"/>
      <c r="CH96" s="4"/>
      <c r="CI96" s="4"/>
      <c r="CJ96" s="4"/>
      <c r="CK96" s="4"/>
      <c r="CL96" s="4"/>
      <c r="CM96" s="4"/>
      <c r="CN96" s="4"/>
      <c r="CO96" s="4"/>
      <c r="CP96" s="4"/>
      <c r="CQ96" s="4"/>
      <c r="CR96" s="4"/>
      <c r="CS96" s="4"/>
      <c r="CT96" s="4"/>
      <c r="CU96" s="4"/>
      <c r="CV96" s="4"/>
      <c r="CW96" s="4"/>
      <c r="CX96" s="4"/>
      <c r="CY96" s="4"/>
      <c r="CZ96" s="4"/>
      <c r="DA96" s="4"/>
      <c r="DB96" s="4"/>
      <c r="DC96" s="4"/>
      <c r="DD96" s="4"/>
      <c r="DE96" s="4"/>
      <c r="DF96" s="4"/>
      <c r="DG96" s="4"/>
      <c r="DH96" s="4"/>
      <c r="DI96" s="4"/>
      <c r="DJ96" s="4"/>
      <c r="DK96" s="4"/>
      <c r="DL96" s="4"/>
      <c r="DM96" s="4"/>
      <c r="DN96" s="4"/>
      <c r="DO96" s="4"/>
      <c r="DP96" s="4"/>
      <c r="DQ96" s="4"/>
      <c r="DR96" s="4"/>
      <c r="DS96" s="4"/>
      <c r="DT96" s="4"/>
      <c r="DU96" s="4"/>
      <c r="DV96" s="4"/>
      <c r="DW96" s="4"/>
      <c r="DX96" s="4"/>
      <c r="DY96" s="4"/>
      <c r="DZ96" s="4"/>
      <c r="EA96" s="4"/>
      <c r="EB96" s="4"/>
      <c r="EC96" s="4"/>
      <c r="ED96" s="4"/>
    </row>
    <row r="97" spans="2:134" ht="30" customHeight="1" thickBot="1" x14ac:dyDescent="0.35">
      <c r="B97" s="57" t="s">
        <v>101</v>
      </c>
      <c r="C97" s="54" t="s">
        <v>38</v>
      </c>
      <c r="D97" s="55"/>
      <c r="E97" s="56"/>
      <c r="F97" s="56"/>
      <c r="G97" s="29"/>
      <c r="H97" s="29" t="str">
        <f t="shared" si="74"/>
        <v/>
      </c>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c r="AP97" s="4"/>
      <c r="AQ97" s="4"/>
      <c r="AR97" s="4"/>
      <c r="AS97" s="4"/>
      <c r="AT97" s="4"/>
      <c r="AU97" s="4"/>
      <c r="AV97" s="4"/>
      <c r="AW97" s="4"/>
      <c r="AX97" s="4"/>
      <c r="AY97" s="4"/>
      <c r="AZ97" s="4"/>
      <c r="BA97" s="4"/>
      <c r="BB97" s="4"/>
      <c r="BC97" s="4"/>
      <c r="BD97" s="4"/>
      <c r="BE97" s="4"/>
      <c r="BF97" s="4"/>
      <c r="BG97" s="4"/>
      <c r="BH97" s="4"/>
      <c r="BI97" s="4"/>
      <c r="BJ97" s="4"/>
      <c r="BK97" s="4"/>
      <c r="BL97" s="4"/>
      <c r="BM97" s="4"/>
      <c r="BN97" s="4"/>
      <c r="BO97" s="4"/>
      <c r="BP97" s="4"/>
      <c r="BQ97" s="4"/>
      <c r="BR97" s="4"/>
      <c r="BS97" s="4"/>
      <c r="BT97" s="4"/>
      <c r="BU97" s="4"/>
      <c r="BV97" s="4"/>
      <c r="BW97" s="4"/>
      <c r="BX97" s="4"/>
      <c r="BY97" s="4"/>
      <c r="BZ97" s="4"/>
      <c r="CA97" s="4"/>
      <c r="CB97" s="4"/>
      <c r="CC97" s="4"/>
      <c r="CD97" s="4"/>
      <c r="CE97" s="4"/>
      <c r="CF97" s="4"/>
      <c r="CG97" s="4"/>
      <c r="CH97" s="4"/>
      <c r="CI97" s="4"/>
      <c r="CJ97" s="4"/>
      <c r="CK97" s="4"/>
      <c r="CL97" s="4"/>
      <c r="CM97" s="4"/>
      <c r="CN97" s="4"/>
      <c r="CO97" s="4"/>
      <c r="CP97" s="4"/>
      <c r="CQ97" s="4"/>
      <c r="CR97" s="4"/>
      <c r="CS97" s="4"/>
      <c r="CT97" s="4"/>
      <c r="CU97" s="4"/>
      <c r="CV97" s="4"/>
      <c r="CW97" s="4"/>
      <c r="CX97" s="4"/>
      <c r="CY97" s="4"/>
      <c r="CZ97" s="4"/>
      <c r="DA97" s="4"/>
      <c r="DB97" s="4"/>
      <c r="DC97" s="4"/>
      <c r="DD97" s="4"/>
      <c r="DE97" s="4"/>
      <c r="DF97" s="4"/>
      <c r="DG97" s="4"/>
      <c r="DH97" s="4"/>
      <c r="DI97" s="4"/>
      <c r="DJ97" s="4"/>
      <c r="DK97" s="4"/>
      <c r="DL97" s="4"/>
      <c r="DM97" s="4"/>
      <c r="DN97" s="4"/>
      <c r="DO97" s="4"/>
      <c r="DP97" s="4"/>
      <c r="DQ97" s="4"/>
      <c r="DR97" s="4"/>
      <c r="DS97" s="4"/>
      <c r="DT97" s="4"/>
      <c r="DU97" s="4"/>
      <c r="DV97" s="4"/>
      <c r="DW97" s="4"/>
      <c r="DX97" s="4"/>
      <c r="DY97" s="4"/>
      <c r="DZ97" s="4"/>
      <c r="EA97" s="4"/>
      <c r="EB97" s="4"/>
      <c r="EC97" s="4"/>
      <c r="ED97" s="4"/>
    </row>
    <row r="98" spans="2:134" ht="30" customHeight="1" thickBot="1" x14ac:dyDescent="0.35">
      <c r="B98" s="27" t="s">
        <v>230</v>
      </c>
      <c r="C98" s="12" t="s">
        <v>38</v>
      </c>
      <c r="D98" s="28"/>
      <c r="E98" s="47"/>
      <c r="F98" s="48"/>
      <c r="G98" s="29"/>
      <c r="H98" s="29" t="str">
        <f t="shared" si="74"/>
        <v/>
      </c>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c r="AP98" s="4"/>
      <c r="AQ98" s="4"/>
      <c r="AR98" s="4"/>
      <c r="AS98" s="4"/>
      <c r="AT98" s="4"/>
      <c r="AU98" s="4"/>
      <c r="AV98" s="4"/>
      <c r="AW98" s="4"/>
      <c r="AX98" s="4"/>
      <c r="AY98" s="4"/>
      <c r="AZ98" s="4"/>
      <c r="BA98" s="4"/>
      <c r="BB98" s="4"/>
      <c r="BC98" s="4"/>
      <c r="BD98" s="4"/>
      <c r="BE98" s="4"/>
      <c r="BF98" s="4"/>
      <c r="BG98" s="4"/>
      <c r="BH98" s="4"/>
      <c r="BI98" s="4"/>
      <c r="BJ98" s="4"/>
      <c r="BK98" s="4"/>
      <c r="BL98" s="4"/>
      <c r="BM98" s="4"/>
      <c r="BN98" s="4"/>
      <c r="BO98" s="4"/>
      <c r="BP98" s="4"/>
      <c r="BQ98" s="4"/>
      <c r="BR98" s="4"/>
      <c r="BS98" s="4"/>
      <c r="BT98" s="4"/>
      <c r="BU98" s="4"/>
      <c r="BV98" s="4"/>
      <c r="BW98" s="4"/>
      <c r="BX98" s="4"/>
      <c r="BY98" s="4"/>
      <c r="BZ98" s="4"/>
      <c r="CA98" s="4"/>
      <c r="CB98" s="4"/>
      <c r="CC98" s="4"/>
      <c r="CD98" s="4"/>
      <c r="CE98" s="4"/>
      <c r="CF98" s="4"/>
      <c r="CG98" s="4"/>
      <c r="CH98" s="4"/>
      <c r="CI98" s="4"/>
      <c r="CJ98" s="4"/>
      <c r="CK98" s="4"/>
      <c r="CL98" s="4"/>
      <c r="CM98" s="4"/>
      <c r="CN98" s="4"/>
      <c r="CO98" s="4"/>
      <c r="CP98" s="4"/>
      <c r="CQ98" s="4"/>
      <c r="CR98" s="4"/>
      <c r="CS98" s="4"/>
      <c r="CT98" s="4"/>
      <c r="CU98" s="4"/>
      <c r="CV98" s="4"/>
      <c r="CW98" s="4"/>
      <c r="CX98" s="4"/>
      <c r="CY98" s="4"/>
      <c r="CZ98" s="4"/>
      <c r="DA98" s="4"/>
      <c r="DB98" s="4"/>
      <c r="DC98" s="4"/>
      <c r="DD98" s="4"/>
      <c r="DE98" s="4"/>
      <c r="DF98" s="4"/>
      <c r="DG98" s="4"/>
      <c r="DH98" s="4"/>
      <c r="DI98" s="4"/>
      <c r="DJ98" s="4"/>
      <c r="DK98" s="4"/>
      <c r="DL98" s="4"/>
      <c r="DM98" s="4"/>
      <c r="DN98" s="4"/>
      <c r="DO98" s="4"/>
      <c r="DP98" s="4"/>
      <c r="DQ98" s="4"/>
      <c r="DR98" s="4"/>
      <c r="DS98" s="4"/>
      <c r="DT98" s="4"/>
      <c r="DU98" s="4"/>
      <c r="DV98" s="4"/>
      <c r="DW98" s="4"/>
      <c r="DX98" s="4"/>
      <c r="DY98" s="4"/>
      <c r="DZ98" s="4"/>
      <c r="EA98" s="4"/>
      <c r="EB98" s="4"/>
      <c r="EC98" s="4"/>
      <c r="ED98" s="4"/>
    </row>
    <row r="99" spans="2:134" ht="30" customHeight="1" thickBot="1" x14ac:dyDescent="0.35">
      <c r="B99" s="77" t="s">
        <v>238</v>
      </c>
      <c r="C99" s="13" t="s">
        <v>38</v>
      </c>
      <c r="D99" s="30">
        <v>0</v>
      </c>
      <c r="E99" s="49">
        <f>F47+1</f>
        <v>46350</v>
      </c>
      <c r="F99" s="49">
        <f>E99</f>
        <v>46350</v>
      </c>
      <c r="G99" s="29"/>
      <c r="H99" s="29">
        <f t="shared" si="74"/>
        <v>1</v>
      </c>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c r="AP99" s="4"/>
      <c r="AQ99" s="4"/>
      <c r="AR99" s="4"/>
      <c r="AS99" s="4"/>
      <c r="AT99" s="4"/>
      <c r="AU99" s="4"/>
      <c r="AV99" s="4"/>
      <c r="AW99" s="4"/>
      <c r="AX99" s="4"/>
      <c r="AY99" s="4"/>
      <c r="AZ99" s="4"/>
      <c r="BA99" s="4"/>
      <c r="BB99" s="4"/>
      <c r="BC99" s="4"/>
      <c r="BD99" s="4"/>
      <c r="BE99" s="4"/>
      <c r="BF99" s="4"/>
      <c r="BG99" s="4"/>
      <c r="BH99" s="4"/>
      <c r="BI99" s="4"/>
      <c r="BJ99" s="4"/>
      <c r="BK99" s="4"/>
      <c r="BL99" s="4"/>
      <c r="BM99" s="4"/>
      <c r="BN99" s="4"/>
      <c r="BO99" s="4"/>
      <c r="BP99" s="4"/>
      <c r="BQ99" s="4"/>
      <c r="BR99" s="4"/>
      <c r="BS99" s="4"/>
      <c r="BT99" s="4"/>
      <c r="BU99" s="4"/>
      <c r="BV99" s="4"/>
      <c r="BW99" s="4"/>
      <c r="BX99" s="4"/>
      <c r="BY99" s="4"/>
      <c r="BZ99" s="4"/>
      <c r="CA99" s="4"/>
      <c r="CB99" s="4"/>
      <c r="CC99" s="4"/>
      <c r="CD99" s="4"/>
      <c r="CE99" s="4"/>
      <c r="CF99" s="4"/>
      <c r="CG99" s="4"/>
      <c r="CH99" s="4"/>
      <c r="CI99" s="4"/>
      <c r="CJ99" s="4"/>
      <c r="CK99" s="4"/>
      <c r="CL99" s="4"/>
      <c r="CM99" s="4"/>
      <c r="CN99" s="4"/>
      <c r="CO99" s="4"/>
      <c r="CP99" s="4"/>
      <c r="CQ99" s="4"/>
      <c r="CR99" s="4"/>
      <c r="CS99" s="4"/>
      <c r="CT99" s="4"/>
      <c r="CU99" s="4"/>
      <c r="CV99" s="4"/>
      <c r="CW99" s="4"/>
      <c r="CX99" s="4"/>
      <c r="CY99" s="4"/>
      <c r="CZ99" s="4"/>
      <c r="DA99" s="4"/>
      <c r="DB99" s="4"/>
      <c r="DC99" s="4"/>
      <c r="DD99" s="4"/>
      <c r="DE99" s="4"/>
      <c r="DF99" s="4"/>
      <c r="DG99" s="4"/>
      <c r="DH99" s="4"/>
      <c r="DI99" s="4"/>
      <c r="DJ99" s="4"/>
      <c r="DK99" s="4"/>
      <c r="DL99" s="4"/>
      <c r="DM99" s="4"/>
      <c r="DN99" s="4"/>
      <c r="DO99" s="4"/>
      <c r="DP99" s="4"/>
      <c r="DQ99" s="4"/>
      <c r="DR99" s="4"/>
      <c r="DS99" s="4"/>
      <c r="DT99" s="4"/>
      <c r="DU99" s="4"/>
      <c r="DV99" s="4"/>
      <c r="DW99" s="4"/>
      <c r="DX99" s="4"/>
      <c r="DY99" s="4"/>
      <c r="DZ99" s="4"/>
      <c r="EA99" s="4"/>
      <c r="EB99" s="4"/>
      <c r="EC99" s="4"/>
      <c r="ED99" s="4"/>
    </row>
    <row r="100" spans="2:134" ht="30" customHeight="1" thickBot="1" x14ac:dyDescent="0.35">
      <c r="B100" s="77" t="s">
        <v>239</v>
      </c>
      <c r="C100" s="13" t="s">
        <v>38</v>
      </c>
      <c r="D100" s="30">
        <v>0</v>
      </c>
      <c r="E100" s="49">
        <f>F99</f>
        <v>46350</v>
      </c>
      <c r="F100" s="49">
        <f>E100</f>
        <v>46350</v>
      </c>
      <c r="G100" s="29"/>
      <c r="H100" s="29">
        <f t="shared" si="74"/>
        <v>1</v>
      </c>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c r="AP100" s="4"/>
      <c r="AQ100" s="4"/>
      <c r="AR100" s="4"/>
      <c r="AS100" s="4"/>
      <c r="AT100" s="4"/>
      <c r="AU100" s="4"/>
      <c r="AV100" s="4"/>
      <c r="AW100" s="4"/>
      <c r="AX100" s="4"/>
      <c r="AY100" s="4"/>
      <c r="AZ100" s="4"/>
      <c r="BA100" s="4"/>
      <c r="BB100" s="4"/>
      <c r="BC100" s="4"/>
      <c r="BD100" s="4"/>
      <c r="BE100" s="4"/>
      <c r="BF100" s="4"/>
      <c r="BG100" s="4"/>
      <c r="BH100" s="4"/>
      <c r="BI100" s="4"/>
      <c r="BJ100" s="4"/>
      <c r="BK100" s="4"/>
      <c r="BL100" s="4"/>
      <c r="BM100" s="4"/>
      <c r="BN100" s="4"/>
      <c r="BO100" s="4"/>
      <c r="BP100" s="4"/>
      <c r="BQ100" s="4"/>
      <c r="BR100" s="4"/>
      <c r="BS100" s="4"/>
      <c r="BT100" s="4"/>
      <c r="BU100" s="4"/>
      <c r="BV100" s="4"/>
      <c r="BW100" s="4"/>
      <c r="BX100" s="4"/>
      <c r="BY100" s="4"/>
      <c r="BZ100" s="4"/>
      <c r="CA100" s="4"/>
      <c r="CB100" s="4"/>
      <c r="CC100" s="4"/>
      <c r="CD100" s="4"/>
      <c r="CE100" s="4"/>
      <c r="CF100" s="4"/>
      <c r="CG100" s="4"/>
      <c r="CH100" s="4"/>
      <c r="CI100" s="4"/>
      <c r="CJ100" s="4"/>
      <c r="CK100" s="4"/>
      <c r="CL100" s="4"/>
      <c r="CM100" s="4"/>
      <c r="CN100" s="4"/>
      <c r="CO100" s="4"/>
      <c r="CP100" s="4"/>
      <c r="CQ100" s="4"/>
      <c r="CR100" s="4"/>
      <c r="CS100" s="4"/>
      <c r="CT100" s="4"/>
      <c r="CU100" s="4"/>
      <c r="CV100" s="4"/>
      <c r="CW100" s="4"/>
      <c r="CX100" s="4"/>
      <c r="CY100" s="4"/>
      <c r="CZ100" s="4"/>
      <c r="DA100" s="4"/>
      <c r="DB100" s="4"/>
      <c r="DC100" s="4"/>
      <c r="DD100" s="4"/>
      <c r="DE100" s="4"/>
      <c r="DF100" s="4"/>
      <c r="DG100" s="4"/>
      <c r="DH100" s="4"/>
      <c r="DI100" s="4"/>
      <c r="DJ100" s="4"/>
      <c r="DK100" s="4"/>
      <c r="DL100" s="4"/>
      <c r="DM100" s="4"/>
      <c r="DN100" s="4"/>
      <c r="DO100" s="4"/>
      <c r="DP100" s="4"/>
      <c r="DQ100" s="4"/>
      <c r="DR100" s="4"/>
      <c r="DS100" s="4"/>
      <c r="DT100" s="4"/>
      <c r="DU100" s="4"/>
      <c r="DV100" s="4"/>
      <c r="DW100" s="4"/>
      <c r="DX100" s="4"/>
      <c r="DY100" s="4"/>
      <c r="DZ100" s="4"/>
      <c r="EA100" s="4"/>
      <c r="EB100" s="4"/>
      <c r="EC100" s="4"/>
      <c r="ED100" s="4"/>
    </row>
    <row r="101" spans="2:134" ht="30" customHeight="1" thickBot="1" x14ac:dyDescent="0.35">
      <c r="B101" s="77" t="s">
        <v>240</v>
      </c>
      <c r="C101" s="13" t="s">
        <v>38</v>
      </c>
      <c r="D101" s="30">
        <v>0</v>
      </c>
      <c r="E101" s="49">
        <f>F100</f>
        <v>46350</v>
      </c>
      <c r="F101" s="49">
        <f>E101</f>
        <v>46350</v>
      </c>
      <c r="G101" s="29"/>
      <c r="H101" s="29">
        <f t="shared" si="74"/>
        <v>1</v>
      </c>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c r="AP101" s="4"/>
      <c r="AQ101" s="4"/>
      <c r="AR101" s="4"/>
      <c r="AS101" s="4"/>
      <c r="AT101" s="4"/>
      <c r="AU101" s="4"/>
      <c r="AV101" s="4"/>
      <c r="AW101" s="4"/>
      <c r="AX101" s="4"/>
      <c r="AY101" s="4"/>
      <c r="AZ101" s="4"/>
      <c r="BA101" s="4"/>
      <c r="BB101" s="4"/>
      <c r="BC101" s="4"/>
      <c r="BD101" s="4"/>
      <c r="BE101" s="4"/>
      <c r="BF101" s="4"/>
      <c r="BG101" s="4"/>
      <c r="BH101" s="4"/>
      <c r="BI101" s="4"/>
      <c r="BJ101" s="4"/>
      <c r="BK101" s="4"/>
      <c r="BL101" s="4"/>
      <c r="BM101" s="4"/>
      <c r="BN101" s="4"/>
      <c r="BO101" s="4"/>
      <c r="BP101" s="4"/>
      <c r="BQ101" s="4"/>
      <c r="BR101" s="4"/>
      <c r="BS101" s="4"/>
      <c r="BT101" s="4"/>
      <c r="BU101" s="4"/>
      <c r="BV101" s="4"/>
      <c r="BW101" s="4"/>
      <c r="BX101" s="4"/>
      <c r="BY101" s="4"/>
      <c r="BZ101" s="4"/>
      <c r="CA101" s="4"/>
      <c r="CB101" s="4"/>
      <c r="CC101" s="4"/>
      <c r="CD101" s="4"/>
      <c r="CE101" s="4"/>
      <c r="CF101" s="4"/>
      <c r="CG101" s="4"/>
      <c r="CH101" s="4"/>
      <c r="CI101" s="4"/>
      <c r="CJ101" s="4"/>
      <c r="CK101" s="4"/>
      <c r="CL101" s="4"/>
      <c r="CM101" s="4"/>
      <c r="CN101" s="4"/>
      <c r="CO101" s="4"/>
      <c r="CP101" s="4"/>
      <c r="CQ101" s="4"/>
      <c r="CR101" s="4"/>
      <c r="CS101" s="4"/>
      <c r="CT101" s="4"/>
      <c r="CU101" s="4"/>
      <c r="CV101" s="4"/>
      <c r="CW101" s="4"/>
      <c r="CX101" s="4"/>
      <c r="CY101" s="4"/>
      <c r="CZ101" s="4"/>
      <c r="DA101" s="4"/>
      <c r="DB101" s="4"/>
      <c r="DC101" s="4"/>
      <c r="DD101" s="4"/>
      <c r="DE101" s="4"/>
      <c r="DF101" s="4"/>
      <c r="DG101" s="4"/>
      <c r="DH101" s="4"/>
      <c r="DI101" s="4"/>
      <c r="DJ101" s="4"/>
      <c r="DK101" s="4"/>
      <c r="DL101" s="4"/>
      <c r="DM101" s="4"/>
      <c r="DN101" s="4"/>
      <c r="DO101" s="4"/>
      <c r="DP101" s="4"/>
      <c r="DQ101" s="4"/>
      <c r="DR101" s="4"/>
      <c r="DS101" s="4"/>
      <c r="DT101" s="4"/>
      <c r="DU101" s="4"/>
      <c r="DV101" s="4"/>
      <c r="DW101" s="4"/>
      <c r="DX101" s="4"/>
      <c r="DY101" s="4"/>
      <c r="DZ101" s="4"/>
      <c r="EA101" s="4"/>
      <c r="EB101" s="4"/>
      <c r="EC101" s="4"/>
      <c r="ED101" s="4"/>
    </row>
    <row r="102" spans="2:134" ht="30" customHeight="1" thickBot="1" x14ac:dyDescent="0.35">
      <c r="B102" s="27" t="s">
        <v>87</v>
      </c>
      <c r="C102" s="12" t="s">
        <v>38</v>
      </c>
      <c r="D102" s="28"/>
      <c r="E102" s="47"/>
      <c r="F102" s="48"/>
      <c r="G102" s="29"/>
      <c r="H102" s="29" t="str">
        <f t="shared" si="74"/>
        <v/>
      </c>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c r="AP102" s="4"/>
      <c r="AQ102" s="4"/>
      <c r="AR102" s="4"/>
      <c r="AS102" s="4"/>
      <c r="AT102" s="4"/>
      <c r="AU102" s="4"/>
      <c r="AV102" s="4"/>
      <c r="AW102" s="4"/>
      <c r="AX102" s="4"/>
      <c r="AY102" s="4"/>
      <c r="AZ102" s="4"/>
      <c r="BA102" s="4"/>
      <c r="BB102" s="4"/>
      <c r="BC102" s="4"/>
      <c r="BD102" s="4"/>
      <c r="BE102" s="4"/>
      <c r="BF102" s="4"/>
      <c r="BG102" s="4"/>
      <c r="BH102" s="4"/>
      <c r="BI102" s="4"/>
      <c r="BJ102" s="4"/>
      <c r="BK102" s="4"/>
      <c r="BL102" s="4"/>
      <c r="BM102" s="4"/>
      <c r="BN102" s="4"/>
      <c r="BO102" s="4"/>
      <c r="BP102" s="4"/>
      <c r="BQ102" s="4"/>
      <c r="BR102" s="4"/>
      <c r="BS102" s="4"/>
      <c r="BT102" s="4"/>
      <c r="BU102" s="4"/>
      <c r="BV102" s="4"/>
      <c r="BW102" s="4"/>
      <c r="BX102" s="4"/>
      <c r="BY102" s="4"/>
      <c r="BZ102" s="4"/>
      <c r="CA102" s="4"/>
      <c r="CB102" s="4"/>
      <c r="CC102" s="4"/>
      <c r="CD102" s="4"/>
      <c r="CE102" s="4"/>
      <c r="CF102" s="4"/>
      <c r="CG102" s="4"/>
      <c r="CH102" s="4"/>
      <c r="CI102" s="4"/>
      <c r="CJ102" s="4"/>
      <c r="CK102" s="4"/>
      <c r="CL102" s="4"/>
      <c r="CM102" s="4"/>
      <c r="CN102" s="4"/>
      <c r="CO102" s="4"/>
      <c r="CP102" s="4"/>
      <c r="CQ102" s="4"/>
      <c r="CR102" s="4"/>
      <c r="CS102" s="4"/>
      <c r="CT102" s="4"/>
      <c r="CU102" s="4"/>
      <c r="CV102" s="4"/>
      <c r="CW102" s="4"/>
      <c r="CX102" s="4"/>
      <c r="CY102" s="4"/>
      <c r="CZ102" s="4"/>
      <c r="DA102" s="4"/>
      <c r="DB102" s="4"/>
      <c r="DC102" s="4"/>
      <c r="DD102" s="4"/>
      <c r="DE102" s="4"/>
      <c r="DF102" s="4"/>
      <c r="DG102" s="4"/>
      <c r="DH102" s="4"/>
      <c r="DI102" s="4"/>
      <c r="DJ102" s="4"/>
      <c r="DK102" s="4"/>
      <c r="DL102" s="4"/>
      <c r="DM102" s="4"/>
      <c r="DN102" s="4"/>
      <c r="DO102" s="4"/>
      <c r="DP102" s="4"/>
      <c r="DQ102" s="4"/>
      <c r="DR102" s="4"/>
      <c r="DS102" s="4"/>
      <c r="DT102" s="4"/>
      <c r="DU102" s="4"/>
      <c r="DV102" s="4"/>
      <c r="DW102" s="4"/>
      <c r="DX102" s="4"/>
      <c r="DY102" s="4"/>
      <c r="DZ102" s="4"/>
      <c r="EA102" s="4"/>
      <c r="EB102" s="4"/>
      <c r="EC102" s="4"/>
      <c r="ED102" s="4"/>
    </row>
    <row r="103" spans="2:134" ht="30" customHeight="1" thickBot="1" x14ac:dyDescent="0.35">
      <c r="B103" s="62" t="s">
        <v>88</v>
      </c>
      <c r="C103" s="13" t="s">
        <v>38</v>
      </c>
      <c r="D103" s="30">
        <v>0</v>
      </c>
      <c r="E103" s="49">
        <f>F101+1</f>
        <v>46351</v>
      </c>
      <c r="F103" s="49">
        <f>E103</f>
        <v>46351</v>
      </c>
      <c r="G103" s="29"/>
      <c r="H103" s="29">
        <f t="shared" si="74"/>
        <v>1</v>
      </c>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c r="AP103" s="4"/>
      <c r="AQ103" s="4"/>
      <c r="AR103" s="4"/>
      <c r="AS103" s="4"/>
      <c r="AT103" s="4"/>
      <c r="AU103" s="4"/>
      <c r="AV103" s="4"/>
      <c r="AW103" s="4"/>
      <c r="AX103" s="4"/>
      <c r="AY103" s="4"/>
      <c r="AZ103" s="4"/>
      <c r="BA103" s="4"/>
      <c r="BB103" s="4"/>
      <c r="BC103" s="4"/>
      <c r="BD103" s="4"/>
      <c r="BE103" s="4"/>
      <c r="BF103" s="4"/>
      <c r="BG103" s="4"/>
      <c r="BH103" s="4"/>
      <c r="BI103" s="4"/>
      <c r="BJ103" s="4"/>
      <c r="BK103" s="4"/>
      <c r="BL103" s="4"/>
      <c r="BM103" s="4"/>
      <c r="BN103" s="4"/>
      <c r="BO103" s="4"/>
      <c r="BP103" s="4"/>
      <c r="BQ103" s="4"/>
      <c r="BR103" s="4"/>
      <c r="BS103" s="4"/>
      <c r="BT103" s="4"/>
      <c r="BU103" s="4"/>
      <c r="BV103" s="4"/>
      <c r="BW103" s="4"/>
      <c r="BX103" s="4"/>
      <c r="BY103" s="4"/>
      <c r="BZ103" s="4"/>
      <c r="CA103" s="4"/>
      <c r="CB103" s="4"/>
      <c r="CC103" s="4"/>
      <c r="CD103" s="4"/>
      <c r="CE103" s="4"/>
      <c r="CF103" s="4"/>
      <c r="CG103" s="4"/>
      <c r="CH103" s="4"/>
      <c r="CI103" s="4"/>
      <c r="CJ103" s="4"/>
      <c r="CK103" s="4"/>
      <c r="CL103" s="4"/>
      <c r="CM103" s="4"/>
      <c r="CN103" s="4"/>
      <c r="CO103" s="4"/>
      <c r="CP103" s="4"/>
      <c r="CQ103" s="4"/>
      <c r="CR103" s="4"/>
      <c r="CS103" s="4"/>
      <c r="CT103" s="4"/>
      <c r="CU103" s="4"/>
      <c r="CV103" s="4"/>
      <c r="CW103" s="4"/>
      <c r="CX103" s="4"/>
      <c r="CY103" s="4"/>
      <c r="CZ103" s="4"/>
      <c r="DA103" s="4"/>
      <c r="DB103" s="4"/>
      <c r="DC103" s="4"/>
      <c r="DD103" s="4"/>
      <c r="DE103" s="4"/>
      <c r="DF103" s="4"/>
      <c r="DG103" s="4"/>
      <c r="DH103" s="4"/>
      <c r="DI103" s="4"/>
      <c r="DJ103" s="4"/>
      <c r="DK103" s="4"/>
      <c r="DL103" s="4"/>
      <c r="DM103" s="4"/>
      <c r="DN103" s="4"/>
      <c r="DO103" s="4"/>
      <c r="DP103" s="4"/>
      <c r="DQ103" s="4"/>
      <c r="DR103" s="4"/>
      <c r="DS103" s="4"/>
      <c r="DT103" s="4"/>
      <c r="DU103" s="4"/>
      <c r="DV103" s="4"/>
      <c r="DW103" s="4"/>
      <c r="DX103" s="4"/>
      <c r="DY103" s="4"/>
      <c r="DZ103" s="4"/>
      <c r="EA103" s="4"/>
      <c r="EB103" s="4"/>
      <c r="EC103" s="4"/>
      <c r="ED103" s="4"/>
    </row>
    <row r="104" spans="2:134" ht="30" customHeight="1" thickBot="1" x14ac:dyDescent="0.35">
      <c r="B104" s="27" t="s">
        <v>102</v>
      </c>
      <c r="C104" s="12" t="s">
        <v>38</v>
      </c>
      <c r="D104" s="28"/>
      <c r="E104" s="47"/>
      <c r="F104" s="48"/>
      <c r="G104" s="29"/>
      <c r="H104" s="29" t="str">
        <f t="shared" si="74"/>
        <v/>
      </c>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c r="AP104" s="4"/>
      <c r="AQ104" s="4"/>
      <c r="AR104" s="4"/>
      <c r="AS104" s="4"/>
      <c r="AT104" s="4"/>
      <c r="AU104" s="4"/>
      <c r="AV104" s="4"/>
      <c r="AW104" s="4"/>
      <c r="AX104" s="4"/>
      <c r="AY104" s="4"/>
      <c r="AZ104" s="4"/>
      <c r="BA104" s="4"/>
      <c r="BB104" s="4"/>
      <c r="BC104" s="4"/>
      <c r="BD104" s="4"/>
      <c r="BE104" s="4"/>
      <c r="BF104" s="4"/>
      <c r="BG104" s="4"/>
      <c r="BH104" s="4"/>
      <c r="BI104" s="4"/>
      <c r="BJ104" s="4"/>
      <c r="BK104" s="4"/>
      <c r="BL104" s="4"/>
      <c r="BM104" s="4"/>
      <c r="BN104" s="4"/>
      <c r="BO104" s="4"/>
      <c r="BP104" s="4"/>
      <c r="BQ104" s="4"/>
      <c r="BR104" s="4"/>
      <c r="BS104" s="4"/>
      <c r="BT104" s="4"/>
      <c r="BU104" s="4"/>
      <c r="BV104" s="4"/>
      <c r="BW104" s="4"/>
      <c r="BX104" s="4"/>
      <c r="BY104" s="4"/>
      <c r="BZ104" s="4"/>
      <c r="CA104" s="4"/>
      <c r="CB104" s="4"/>
      <c r="CC104" s="4"/>
      <c r="CD104" s="4"/>
      <c r="CE104" s="4"/>
      <c r="CF104" s="4"/>
      <c r="CG104" s="4"/>
      <c r="CH104" s="4"/>
      <c r="CI104" s="4"/>
      <c r="CJ104" s="4"/>
      <c r="CK104" s="4"/>
      <c r="CL104" s="4"/>
      <c r="CM104" s="4"/>
      <c r="CN104" s="4"/>
      <c r="CO104" s="4"/>
      <c r="CP104" s="4"/>
      <c r="CQ104" s="4"/>
      <c r="CR104" s="4"/>
      <c r="CS104" s="4"/>
      <c r="CT104" s="4"/>
      <c r="CU104" s="4"/>
      <c r="CV104" s="4"/>
      <c r="CW104" s="4"/>
      <c r="CX104" s="4"/>
      <c r="CY104" s="4"/>
      <c r="CZ104" s="4"/>
      <c r="DA104" s="4"/>
      <c r="DB104" s="4"/>
      <c r="DC104" s="4"/>
      <c r="DD104" s="4"/>
      <c r="DE104" s="4"/>
      <c r="DF104" s="4"/>
      <c r="DG104" s="4"/>
      <c r="DH104" s="4"/>
      <c r="DI104" s="4"/>
      <c r="DJ104" s="4"/>
      <c r="DK104" s="4"/>
      <c r="DL104" s="4"/>
      <c r="DM104" s="4"/>
      <c r="DN104" s="4"/>
      <c r="DO104" s="4"/>
      <c r="DP104" s="4"/>
      <c r="DQ104" s="4"/>
      <c r="DR104" s="4"/>
      <c r="DS104" s="4"/>
      <c r="DT104" s="4"/>
      <c r="DU104" s="4"/>
      <c r="DV104" s="4"/>
      <c r="DW104" s="4"/>
      <c r="DX104" s="4"/>
      <c r="DY104" s="4"/>
      <c r="DZ104" s="4"/>
      <c r="EA104" s="4"/>
      <c r="EB104" s="4"/>
      <c r="EC104" s="4"/>
      <c r="ED104" s="4"/>
    </row>
    <row r="105" spans="2:134" ht="30" customHeight="1" thickBot="1" x14ac:dyDescent="0.35">
      <c r="B105" s="62" t="s">
        <v>103</v>
      </c>
      <c r="C105" s="13" t="s">
        <v>38</v>
      </c>
      <c r="D105" s="30">
        <v>0</v>
      </c>
      <c r="E105" s="49">
        <f>F103</f>
        <v>46351</v>
      </c>
      <c r="F105" s="49">
        <f>E105</f>
        <v>46351</v>
      </c>
      <c r="G105" s="29"/>
      <c r="H105" s="29">
        <f t="shared" si="74"/>
        <v>1</v>
      </c>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c r="AP105" s="4"/>
      <c r="AQ105" s="4"/>
      <c r="AR105" s="4"/>
      <c r="AS105" s="4"/>
      <c r="AT105" s="4"/>
      <c r="AU105" s="4"/>
      <c r="AV105" s="4"/>
      <c r="AW105" s="4"/>
      <c r="AX105" s="4"/>
      <c r="AY105" s="4"/>
      <c r="AZ105" s="4"/>
      <c r="BA105" s="4"/>
      <c r="BB105" s="4"/>
      <c r="BC105" s="4"/>
      <c r="BD105" s="4"/>
      <c r="BE105" s="4"/>
      <c r="BF105" s="4"/>
      <c r="BG105" s="4"/>
      <c r="BH105" s="4"/>
      <c r="BI105" s="4"/>
      <c r="BJ105" s="4"/>
      <c r="BK105" s="4"/>
      <c r="BL105" s="4"/>
      <c r="BM105" s="4"/>
      <c r="BN105" s="4"/>
      <c r="BO105" s="4"/>
      <c r="BP105" s="4"/>
      <c r="BQ105" s="4"/>
      <c r="BR105" s="4"/>
      <c r="BS105" s="4"/>
      <c r="BT105" s="4"/>
      <c r="BU105" s="4"/>
      <c r="BV105" s="4"/>
      <c r="BW105" s="4"/>
      <c r="BX105" s="4"/>
      <c r="BY105" s="4"/>
      <c r="BZ105" s="4"/>
      <c r="CA105" s="4"/>
      <c r="CB105" s="4"/>
      <c r="CC105" s="4"/>
      <c r="CD105" s="4"/>
      <c r="CE105" s="4"/>
      <c r="CF105" s="4"/>
      <c r="CG105" s="4"/>
      <c r="CH105" s="4"/>
      <c r="CI105" s="4"/>
      <c r="CJ105" s="4"/>
      <c r="CK105" s="4"/>
      <c r="CL105" s="4"/>
      <c r="CM105" s="4"/>
      <c r="CN105" s="4"/>
      <c r="CO105" s="4"/>
      <c r="CP105" s="4"/>
      <c r="CQ105" s="4"/>
      <c r="CR105" s="4"/>
      <c r="CS105" s="4"/>
      <c r="CT105" s="4"/>
      <c r="CU105" s="4"/>
      <c r="CV105" s="4"/>
      <c r="CW105" s="4"/>
      <c r="CX105" s="4"/>
      <c r="CY105" s="4"/>
      <c r="CZ105" s="4"/>
      <c r="DA105" s="4"/>
      <c r="DB105" s="4"/>
      <c r="DC105" s="4"/>
      <c r="DD105" s="4"/>
      <c r="DE105" s="4"/>
      <c r="DF105" s="4"/>
      <c r="DG105" s="4"/>
      <c r="DH105" s="4"/>
      <c r="DI105" s="4"/>
      <c r="DJ105" s="4"/>
      <c r="DK105" s="4"/>
      <c r="DL105" s="4"/>
      <c r="DM105" s="4"/>
      <c r="DN105" s="4"/>
      <c r="DO105" s="4"/>
      <c r="DP105" s="4"/>
      <c r="DQ105" s="4"/>
      <c r="DR105" s="4"/>
      <c r="DS105" s="4"/>
      <c r="DT105" s="4"/>
      <c r="DU105" s="4"/>
      <c r="DV105" s="4"/>
      <c r="DW105" s="4"/>
      <c r="DX105" s="4"/>
      <c r="DY105" s="4"/>
      <c r="DZ105" s="4"/>
      <c r="EA105" s="4"/>
      <c r="EB105" s="4"/>
      <c r="EC105" s="4"/>
      <c r="ED105" s="4"/>
    </row>
    <row r="106" spans="2:134" ht="30" customHeight="1" thickBot="1" x14ac:dyDescent="0.35">
      <c r="B106" s="57" t="s">
        <v>104</v>
      </c>
      <c r="C106" s="54" t="s">
        <v>38</v>
      </c>
      <c r="D106" s="55"/>
      <c r="E106" s="56"/>
      <c r="F106" s="56"/>
      <c r="G106" s="29"/>
      <c r="H106" s="29" t="str">
        <f t="shared" si="74"/>
        <v/>
      </c>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c r="AP106" s="4"/>
      <c r="AQ106" s="4"/>
      <c r="AR106" s="4"/>
      <c r="AS106" s="4"/>
      <c r="AT106" s="4"/>
      <c r="AU106" s="4"/>
      <c r="AV106" s="4"/>
      <c r="AW106" s="4"/>
      <c r="AX106" s="4"/>
      <c r="AY106" s="4"/>
      <c r="AZ106" s="4"/>
      <c r="BA106" s="4"/>
      <c r="BB106" s="4"/>
      <c r="BC106" s="4"/>
      <c r="BD106" s="4"/>
      <c r="BE106" s="4"/>
      <c r="BF106" s="4"/>
      <c r="BG106" s="4"/>
      <c r="BH106" s="4"/>
      <c r="BI106" s="4"/>
      <c r="BJ106" s="4"/>
      <c r="BK106" s="4"/>
      <c r="BL106" s="4"/>
      <c r="BM106" s="4"/>
      <c r="BN106" s="4"/>
      <c r="BO106" s="4"/>
      <c r="BP106" s="4"/>
      <c r="BQ106" s="4"/>
      <c r="BR106" s="4"/>
      <c r="BS106" s="4"/>
      <c r="BT106" s="4"/>
      <c r="BU106" s="4"/>
      <c r="BV106" s="4"/>
      <c r="BW106" s="4"/>
      <c r="BX106" s="4"/>
      <c r="BY106" s="4"/>
      <c r="BZ106" s="4"/>
      <c r="CA106" s="4"/>
      <c r="CB106" s="4"/>
      <c r="CC106" s="4"/>
      <c r="CD106" s="4"/>
      <c r="CE106" s="4"/>
      <c r="CF106" s="4"/>
      <c r="CG106" s="4"/>
      <c r="CH106" s="4"/>
      <c r="CI106" s="4"/>
      <c r="CJ106" s="4"/>
      <c r="CK106" s="4"/>
      <c r="CL106" s="4"/>
      <c r="CM106" s="4"/>
      <c r="CN106" s="4"/>
      <c r="CO106" s="4"/>
      <c r="CP106" s="4"/>
      <c r="CQ106" s="4"/>
      <c r="CR106" s="4"/>
      <c r="CS106" s="4"/>
      <c r="CT106" s="4"/>
      <c r="CU106" s="4"/>
      <c r="CV106" s="4"/>
      <c r="CW106" s="4"/>
      <c r="CX106" s="4"/>
      <c r="CY106" s="4"/>
      <c r="CZ106" s="4"/>
      <c r="DA106" s="4"/>
      <c r="DB106" s="4"/>
      <c r="DC106" s="4"/>
      <c r="DD106" s="4"/>
      <c r="DE106" s="4"/>
      <c r="DF106" s="4"/>
      <c r="DG106" s="4"/>
      <c r="DH106" s="4"/>
      <c r="DI106" s="4"/>
      <c r="DJ106" s="4"/>
      <c r="DK106" s="4"/>
      <c r="DL106" s="4"/>
      <c r="DM106" s="4"/>
      <c r="DN106" s="4"/>
      <c r="DO106" s="4"/>
      <c r="DP106" s="4"/>
      <c r="DQ106" s="4"/>
      <c r="DR106" s="4"/>
      <c r="DS106" s="4"/>
      <c r="DT106" s="4"/>
      <c r="DU106" s="4"/>
      <c r="DV106" s="4"/>
      <c r="DW106" s="4"/>
      <c r="DX106" s="4"/>
      <c r="DY106" s="4"/>
      <c r="DZ106" s="4"/>
      <c r="EA106" s="4"/>
      <c r="EB106" s="4"/>
      <c r="EC106" s="4"/>
      <c r="ED106" s="4"/>
    </row>
    <row r="107" spans="2:134" ht="30" customHeight="1" thickBot="1" x14ac:dyDescent="0.35">
      <c r="B107" s="27" t="s">
        <v>230</v>
      </c>
      <c r="C107" s="12" t="s">
        <v>38</v>
      </c>
      <c r="D107" s="28"/>
      <c r="E107" s="47"/>
      <c r="F107" s="48"/>
      <c r="G107" s="29"/>
      <c r="H107" s="29" t="str">
        <f t="shared" si="74"/>
        <v/>
      </c>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c r="AP107" s="4"/>
      <c r="AQ107" s="4"/>
      <c r="AR107" s="4"/>
      <c r="AS107" s="4"/>
      <c r="AT107" s="4"/>
      <c r="AU107" s="4"/>
      <c r="AV107" s="4"/>
      <c r="AW107" s="4"/>
      <c r="AX107" s="4"/>
      <c r="AY107" s="4"/>
      <c r="AZ107" s="4"/>
      <c r="BA107" s="4"/>
      <c r="BB107" s="4"/>
      <c r="BC107" s="4"/>
      <c r="BD107" s="4"/>
      <c r="BE107" s="4"/>
      <c r="BF107" s="4"/>
      <c r="BG107" s="4"/>
      <c r="BH107" s="4"/>
      <c r="BI107" s="4"/>
      <c r="BJ107" s="4"/>
      <c r="BK107" s="4"/>
      <c r="BL107" s="4"/>
      <c r="BM107" s="4"/>
      <c r="BN107" s="4"/>
      <c r="BO107" s="4"/>
      <c r="BP107" s="4"/>
      <c r="BQ107" s="4"/>
      <c r="BR107" s="4"/>
      <c r="BS107" s="4"/>
      <c r="BT107" s="4"/>
      <c r="BU107" s="4"/>
      <c r="BV107" s="4"/>
      <c r="BW107" s="4"/>
      <c r="BX107" s="4"/>
      <c r="BY107" s="4"/>
      <c r="BZ107" s="4"/>
      <c r="CA107" s="4"/>
      <c r="CB107" s="4"/>
      <c r="CC107" s="4"/>
      <c r="CD107" s="4"/>
      <c r="CE107" s="4"/>
      <c r="CF107" s="4"/>
      <c r="CG107" s="4"/>
      <c r="CH107" s="4"/>
      <c r="CI107" s="4"/>
      <c r="CJ107" s="4"/>
      <c r="CK107" s="4"/>
      <c r="CL107" s="4"/>
      <c r="CM107" s="4"/>
      <c r="CN107" s="4"/>
      <c r="CO107" s="4"/>
      <c r="CP107" s="4"/>
      <c r="CQ107" s="4"/>
      <c r="CR107" s="4"/>
      <c r="CS107" s="4"/>
      <c r="CT107" s="4"/>
      <c r="CU107" s="4"/>
      <c r="CV107" s="4"/>
      <c r="CW107" s="4"/>
      <c r="CX107" s="4"/>
      <c r="CY107" s="4"/>
      <c r="CZ107" s="4"/>
      <c r="DA107" s="4"/>
      <c r="DB107" s="4"/>
      <c r="DC107" s="4"/>
      <c r="DD107" s="4"/>
      <c r="DE107" s="4"/>
      <c r="DF107" s="4"/>
      <c r="DG107" s="4"/>
      <c r="DH107" s="4"/>
      <c r="DI107" s="4"/>
      <c r="DJ107" s="4"/>
      <c r="DK107" s="4"/>
      <c r="DL107" s="4"/>
      <c r="DM107" s="4"/>
      <c r="DN107" s="4"/>
      <c r="DO107" s="4"/>
      <c r="DP107" s="4"/>
      <c r="DQ107" s="4"/>
      <c r="DR107" s="4"/>
      <c r="DS107" s="4"/>
      <c r="DT107" s="4"/>
      <c r="DU107" s="4"/>
      <c r="DV107" s="4"/>
      <c r="DW107" s="4"/>
      <c r="DX107" s="4"/>
      <c r="DY107" s="4"/>
      <c r="DZ107" s="4"/>
      <c r="EA107" s="4"/>
      <c r="EB107" s="4"/>
      <c r="EC107" s="4"/>
      <c r="ED107" s="4"/>
    </row>
    <row r="108" spans="2:134" ht="30" customHeight="1" thickBot="1" x14ac:dyDescent="0.35">
      <c r="B108" s="77" t="s">
        <v>241</v>
      </c>
      <c r="C108" s="13" t="s">
        <v>38</v>
      </c>
      <c r="D108" s="30">
        <v>0</v>
      </c>
      <c r="E108" s="49">
        <f>F105+1</f>
        <v>46352</v>
      </c>
      <c r="F108" s="49">
        <f>E108</f>
        <v>46352</v>
      </c>
      <c r="G108" s="29"/>
      <c r="H108" s="29">
        <f t="shared" si="74"/>
        <v>1</v>
      </c>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c r="AP108" s="4"/>
      <c r="AQ108" s="4"/>
      <c r="AR108" s="4"/>
      <c r="AS108" s="4"/>
      <c r="AT108" s="4"/>
      <c r="AU108" s="4"/>
      <c r="AV108" s="4"/>
      <c r="AW108" s="4"/>
      <c r="AX108" s="4"/>
      <c r="AY108" s="4"/>
      <c r="AZ108" s="4"/>
      <c r="BA108" s="4"/>
      <c r="BB108" s="4"/>
      <c r="BC108" s="4"/>
      <c r="BD108" s="4"/>
      <c r="BE108" s="4"/>
      <c r="BF108" s="4"/>
      <c r="BG108" s="4"/>
      <c r="BH108" s="4"/>
      <c r="BI108" s="4"/>
      <c r="BJ108" s="4"/>
      <c r="BK108" s="4"/>
      <c r="BL108" s="4"/>
      <c r="BM108" s="4"/>
      <c r="BN108" s="4"/>
      <c r="BO108" s="4"/>
      <c r="BP108" s="4"/>
      <c r="BQ108" s="4"/>
      <c r="BR108" s="4"/>
      <c r="BS108" s="4"/>
      <c r="BT108" s="4"/>
      <c r="BU108" s="4"/>
      <c r="BV108" s="4"/>
      <c r="BW108" s="4"/>
      <c r="BX108" s="4"/>
      <c r="BY108" s="4"/>
      <c r="BZ108" s="4"/>
      <c r="CA108" s="4"/>
      <c r="CB108" s="4"/>
      <c r="CC108" s="4"/>
      <c r="CD108" s="4"/>
      <c r="CE108" s="4"/>
      <c r="CF108" s="4"/>
      <c r="CG108" s="4"/>
      <c r="CH108" s="4"/>
      <c r="CI108" s="4"/>
      <c r="CJ108" s="4"/>
      <c r="CK108" s="4"/>
      <c r="CL108" s="4"/>
      <c r="CM108" s="4"/>
      <c r="CN108" s="4"/>
      <c r="CO108" s="4"/>
      <c r="CP108" s="4"/>
      <c r="CQ108" s="4"/>
      <c r="CR108" s="4"/>
      <c r="CS108" s="4"/>
      <c r="CT108" s="4"/>
      <c r="CU108" s="4"/>
      <c r="CV108" s="4"/>
      <c r="CW108" s="4"/>
      <c r="CX108" s="4"/>
      <c r="CY108" s="4"/>
      <c r="CZ108" s="4"/>
      <c r="DA108" s="4"/>
      <c r="DB108" s="4"/>
      <c r="DC108" s="4"/>
      <c r="DD108" s="4"/>
      <c r="DE108" s="4"/>
      <c r="DF108" s="4"/>
      <c r="DG108" s="4"/>
      <c r="DH108" s="4"/>
      <c r="DI108" s="4"/>
      <c r="DJ108" s="4"/>
      <c r="DK108" s="4"/>
      <c r="DL108" s="4"/>
      <c r="DM108" s="4"/>
      <c r="DN108" s="4"/>
      <c r="DO108" s="4"/>
      <c r="DP108" s="4"/>
      <c r="DQ108" s="4"/>
      <c r="DR108" s="4"/>
      <c r="DS108" s="4"/>
      <c r="DT108" s="4"/>
      <c r="DU108" s="4"/>
      <c r="DV108" s="4"/>
      <c r="DW108" s="4"/>
      <c r="DX108" s="4"/>
      <c r="DY108" s="4"/>
      <c r="DZ108" s="4"/>
      <c r="EA108" s="4"/>
      <c r="EB108" s="4"/>
      <c r="EC108" s="4"/>
      <c r="ED108" s="4"/>
    </row>
    <row r="109" spans="2:134" ht="30" customHeight="1" thickBot="1" x14ac:dyDescent="0.35">
      <c r="B109" s="77" t="s">
        <v>242</v>
      </c>
      <c r="C109" s="13" t="s">
        <v>38</v>
      </c>
      <c r="D109" s="30">
        <v>0</v>
      </c>
      <c r="E109" s="49">
        <f>F108</f>
        <v>46352</v>
      </c>
      <c r="F109" s="49">
        <f>E109</f>
        <v>46352</v>
      </c>
      <c r="G109" s="29"/>
      <c r="H109" s="29">
        <f t="shared" si="74"/>
        <v>1</v>
      </c>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c r="AP109" s="4"/>
      <c r="AQ109" s="4"/>
      <c r="AR109" s="4"/>
      <c r="AS109" s="4"/>
      <c r="AT109" s="4"/>
      <c r="AU109" s="4"/>
      <c r="AV109" s="4"/>
      <c r="AW109" s="4"/>
      <c r="AX109" s="4"/>
      <c r="AY109" s="4"/>
      <c r="AZ109" s="4"/>
      <c r="BA109" s="4"/>
      <c r="BB109" s="4"/>
      <c r="BC109" s="4"/>
      <c r="BD109" s="4"/>
      <c r="BE109" s="4"/>
      <c r="BF109" s="4"/>
      <c r="BG109" s="4"/>
      <c r="BH109" s="4"/>
      <c r="BI109" s="4"/>
      <c r="BJ109" s="4"/>
      <c r="BK109" s="4"/>
      <c r="BL109" s="4"/>
      <c r="BM109" s="4"/>
      <c r="BN109" s="4"/>
      <c r="BO109" s="4"/>
      <c r="BP109" s="4"/>
      <c r="BQ109" s="4"/>
      <c r="BR109" s="4"/>
      <c r="BS109" s="4"/>
      <c r="BT109" s="4"/>
      <c r="BU109" s="4"/>
      <c r="BV109" s="4"/>
      <c r="BW109" s="4"/>
      <c r="BX109" s="4"/>
      <c r="BY109" s="4"/>
      <c r="BZ109" s="4"/>
      <c r="CA109" s="4"/>
      <c r="CB109" s="4"/>
      <c r="CC109" s="4"/>
      <c r="CD109" s="4"/>
      <c r="CE109" s="4"/>
      <c r="CF109" s="4"/>
      <c r="CG109" s="4"/>
      <c r="CH109" s="4"/>
      <c r="CI109" s="4"/>
      <c r="CJ109" s="4"/>
      <c r="CK109" s="4"/>
      <c r="CL109" s="4"/>
      <c r="CM109" s="4"/>
      <c r="CN109" s="4"/>
      <c r="CO109" s="4"/>
      <c r="CP109" s="4"/>
      <c r="CQ109" s="4"/>
      <c r="CR109" s="4"/>
      <c r="CS109" s="4"/>
      <c r="CT109" s="4"/>
      <c r="CU109" s="4"/>
      <c r="CV109" s="4"/>
      <c r="CW109" s="4"/>
      <c r="CX109" s="4"/>
      <c r="CY109" s="4"/>
      <c r="CZ109" s="4"/>
      <c r="DA109" s="4"/>
      <c r="DB109" s="4"/>
      <c r="DC109" s="4"/>
      <c r="DD109" s="4"/>
      <c r="DE109" s="4"/>
      <c r="DF109" s="4"/>
      <c r="DG109" s="4"/>
      <c r="DH109" s="4"/>
      <c r="DI109" s="4"/>
      <c r="DJ109" s="4"/>
      <c r="DK109" s="4"/>
      <c r="DL109" s="4"/>
      <c r="DM109" s="4"/>
      <c r="DN109" s="4"/>
      <c r="DO109" s="4"/>
      <c r="DP109" s="4"/>
      <c r="DQ109" s="4"/>
      <c r="DR109" s="4"/>
      <c r="DS109" s="4"/>
      <c r="DT109" s="4"/>
      <c r="DU109" s="4"/>
      <c r="DV109" s="4"/>
      <c r="DW109" s="4"/>
      <c r="DX109" s="4"/>
      <c r="DY109" s="4"/>
      <c r="DZ109" s="4"/>
      <c r="EA109" s="4"/>
      <c r="EB109" s="4"/>
      <c r="EC109" s="4"/>
      <c r="ED109" s="4"/>
    </row>
    <row r="110" spans="2:134" ht="30" customHeight="1" thickBot="1" x14ac:dyDescent="0.35">
      <c r="B110" s="77" t="s">
        <v>243</v>
      </c>
      <c r="C110" s="13" t="s">
        <v>38</v>
      </c>
      <c r="D110" s="30">
        <v>0</v>
      </c>
      <c r="E110" s="49">
        <f>F108</f>
        <v>46352</v>
      </c>
      <c r="F110" s="49">
        <f>E110</f>
        <v>46352</v>
      </c>
      <c r="G110" s="29"/>
      <c r="H110" s="29">
        <f t="shared" si="74"/>
        <v>1</v>
      </c>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c r="AP110" s="4"/>
      <c r="AQ110" s="4"/>
      <c r="AR110" s="4"/>
      <c r="AS110" s="4"/>
      <c r="AT110" s="4"/>
      <c r="AU110" s="4"/>
      <c r="AV110" s="4"/>
      <c r="AW110" s="4"/>
      <c r="AX110" s="4"/>
      <c r="AY110" s="4"/>
      <c r="AZ110" s="4"/>
      <c r="BA110" s="4"/>
      <c r="BB110" s="4"/>
      <c r="BC110" s="4"/>
      <c r="BD110" s="4"/>
      <c r="BE110" s="4"/>
      <c r="BF110" s="4"/>
      <c r="BG110" s="4"/>
      <c r="BH110" s="4"/>
      <c r="BI110" s="4"/>
      <c r="BJ110" s="4"/>
      <c r="BK110" s="4"/>
      <c r="BL110" s="4"/>
      <c r="BM110" s="4"/>
      <c r="BN110" s="4"/>
      <c r="BO110" s="4"/>
      <c r="BP110" s="4"/>
      <c r="BQ110" s="4"/>
      <c r="BR110" s="4"/>
      <c r="BS110" s="4"/>
      <c r="BT110" s="4"/>
      <c r="BU110" s="4"/>
      <c r="BV110" s="4"/>
      <c r="BW110" s="4"/>
      <c r="BX110" s="4"/>
      <c r="BY110" s="4"/>
      <c r="BZ110" s="4"/>
      <c r="CA110" s="4"/>
      <c r="CB110" s="4"/>
      <c r="CC110" s="4"/>
      <c r="CD110" s="4"/>
      <c r="CE110" s="4"/>
      <c r="CF110" s="4"/>
      <c r="CG110" s="4"/>
      <c r="CH110" s="4"/>
      <c r="CI110" s="4"/>
      <c r="CJ110" s="4"/>
      <c r="CK110" s="4"/>
      <c r="CL110" s="4"/>
      <c r="CM110" s="4"/>
      <c r="CN110" s="4"/>
      <c r="CO110" s="4"/>
      <c r="CP110" s="4"/>
      <c r="CQ110" s="4"/>
      <c r="CR110" s="4"/>
      <c r="CS110" s="4"/>
      <c r="CT110" s="4"/>
      <c r="CU110" s="4"/>
      <c r="CV110" s="4"/>
      <c r="CW110" s="4"/>
      <c r="CX110" s="4"/>
      <c r="CY110" s="4"/>
      <c r="CZ110" s="4"/>
      <c r="DA110" s="4"/>
      <c r="DB110" s="4"/>
      <c r="DC110" s="4"/>
      <c r="DD110" s="4"/>
      <c r="DE110" s="4"/>
      <c r="DF110" s="4"/>
      <c r="DG110" s="4"/>
      <c r="DH110" s="4"/>
      <c r="DI110" s="4"/>
      <c r="DJ110" s="4"/>
      <c r="DK110" s="4"/>
      <c r="DL110" s="4"/>
      <c r="DM110" s="4"/>
      <c r="DN110" s="4"/>
      <c r="DO110" s="4"/>
      <c r="DP110" s="4"/>
      <c r="DQ110" s="4"/>
      <c r="DR110" s="4"/>
      <c r="DS110" s="4"/>
      <c r="DT110" s="4"/>
      <c r="DU110" s="4"/>
      <c r="DV110" s="4"/>
      <c r="DW110" s="4"/>
      <c r="DX110" s="4"/>
      <c r="DY110" s="4"/>
      <c r="DZ110" s="4"/>
      <c r="EA110" s="4"/>
      <c r="EB110" s="4"/>
      <c r="EC110" s="4"/>
      <c r="ED110" s="4"/>
    </row>
    <row r="111" spans="2:134" ht="30" customHeight="1" thickBot="1" x14ac:dyDescent="0.35">
      <c r="B111" s="27" t="s">
        <v>87</v>
      </c>
      <c r="C111" s="12" t="s">
        <v>38</v>
      </c>
      <c r="D111" s="28"/>
      <c r="E111" s="47"/>
      <c r="F111" s="48"/>
      <c r="G111" s="29"/>
      <c r="H111" s="29" t="str">
        <f t="shared" si="74"/>
        <v/>
      </c>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c r="AP111" s="4"/>
      <c r="AQ111" s="4"/>
      <c r="AR111" s="4"/>
      <c r="AS111" s="4"/>
      <c r="AT111" s="4"/>
      <c r="AU111" s="4"/>
      <c r="AV111" s="4"/>
      <c r="AW111" s="4"/>
      <c r="AX111" s="4"/>
      <c r="AY111" s="4"/>
      <c r="AZ111" s="4"/>
      <c r="BA111" s="4"/>
      <c r="BB111" s="4"/>
      <c r="BC111" s="4"/>
      <c r="BD111" s="4"/>
      <c r="BE111" s="4"/>
      <c r="BF111" s="4"/>
      <c r="BG111" s="4"/>
      <c r="BH111" s="4"/>
      <c r="BI111" s="4"/>
      <c r="BJ111" s="4"/>
      <c r="BK111" s="4"/>
      <c r="BL111" s="4"/>
      <c r="BM111" s="4"/>
      <c r="BN111" s="4"/>
      <c r="BO111" s="4"/>
      <c r="BP111" s="4"/>
      <c r="BQ111" s="4"/>
      <c r="BR111" s="4"/>
      <c r="BS111" s="4"/>
      <c r="BT111" s="4"/>
      <c r="BU111" s="4"/>
      <c r="BV111" s="4"/>
      <c r="BW111" s="4"/>
      <c r="BX111" s="4"/>
      <c r="BY111" s="4"/>
      <c r="BZ111" s="4"/>
      <c r="CA111" s="4"/>
      <c r="CB111" s="4"/>
      <c r="CC111" s="4"/>
      <c r="CD111" s="4"/>
      <c r="CE111" s="4"/>
      <c r="CF111" s="4"/>
      <c r="CG111" s="4"/>
      <c r="CH111" s="4"/>
      <c r="CI111" s="4"/>
      <c r="CJ111" s="4"/>
      <c r="CK111" s="4"/>
      <c r="CL111" s="4"/>
      <c r="CM111" s="4"/>
      <c r="CN111" s="4"/>
      <c r="CO111" s="4"/>
      <c r="CP111" s="4"/>
      <c r="CQ111" s="4"/>
      <c r="CR111" s="4"/>
      <c r="CS111" s="4"/>
      <c r="CT111" s="4"/>
      <c r="CU111" s="4"/>
      <c r="CV111" s="4"/>
      <c r="CW111" s="4"/>
      <c r="CX111" s="4"/>
      <c r="CY111" s="4"/>
      <c r="CZ111" s="4"/>
      <c r="DA111" s="4"/>
      <c r="DB111" s="4"/>
      <c r="DC111" s="4"/>
      <c r="DD111" s="4"/>
      <c r="DE111" s="4"/>
      <c r="DF111" s="4"/>
      <c r="DG111" s="4"/>
      <c r="DH111" s="4"/>
      <c r="DI111" s="4"/>
      <c r="DJ111" s="4"/>
      <c r="DK111" s="4"/>
      <c r="DL111" s="4"/>
      <c r="DM111" s="4"/>
      <c r="DN111" s="4"/>
      <c r="DO111" s="4"/>
      <c r="DP111" s="4"/>
      <c r="DQ111" s="4"/>
      <c r="DR111" s="4"/>
      <c r="DS111" s="4"/>
      <c r="DT111" s="4"/>
      <c r="DU111" s="4"/>
      <c r="DV111" s="4"/>
      <c r="DW111" s="4"/>
      <c r="DX111" s="4"/>
      <c r="DY111" s="4"/>
      <c r="DZ111" s="4"/>
      <c r="EA111" s="4"/>
      <c r="EB111" s="4"/>
      <c r="EC111" s="4"/>
      <c r="ED111" s="4"/>
    </row>
    <row r="112" spans="2:134" ht="30" customHeight="1" thickBot="1" x14ac:dyDescent="0.35">
      <c r="B112" s="62" t="s">
        <v>88</v>
      </c>
      <c r="C112" s="13" t="s">
        <v>38</v>
      </c>
      <c r="D112" s="30">
        <v>0</v>
      </c>
      <c r="E112" s="49">
        <f>F110+1</f>
        <v>46353</v>
      </c>
      <c r="F112" s="49">
        <f>E112</f>
        <v>46353</v>
      </c>
      <c r="G112" s="29"/>
      <c r="H112" s="29">
        <f t="shared" si="74"/>
        <v>1</v>
      </c>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c r="AP112" s="4"/>
      <c r="AQ112" s="4"/>
      <c r="AR112" s="4"/>
      <c r="AS112" s="4"/>
      <c r="AT112" s="4"/>
      <c r="AU112" s="4"/>
      <c r="AV112" s="4"/>
      <c r="AW112" s="4"/>
      <c r="AX112" s="4"/>
      <c r="AY112" s="4"/>
      <c r="AZ112" s="4"/>
      <c r="BA112" s="4"/>
      <c r="BB112" s="4"/>
      <c r="BC112" s="4"/>
      <c r="BD112" s="4"/>
      <c r="BE112" s="4"/>
      <c r="BF112" s="4"/>
      <c r="BG112" s="4"/>
      <c r="BH112" s="4"/>
      <c r="BI112" s="4"/>
      <c r="BJ112" s="4"/>
      <c r="BK112" s="4"/>
      <c r="BL112" s="4"/>
      <c r="BM112" s="4"/>
      <c r="BN112" s="4"/>
      <c r="BO112" s="4"/>
      <c r="BP112" s="4"/>
      <c r="BQ112" s="4"/>
      <c r="BR112" s="4"/>
      <c r="BS112" s="4"/>
      <c r="BT112" s="4"/>
      <c r="BU112" s="4"/>
      <c r="BV112" s="4"/>
      <c r="BW112" s="4"/>
      <c r="BX112" s="4"/>
      <c r="BY112" s="4"/>
      <c r="BZ112" s="4"/>
      <c r="CA112" s="4"/>
      <c r="CB112" s="4"/>
      <c r="CC112" s="4"/>
      <c r="CD112" s="4"/>
      <c r="CE112" s="4"/>
      <c r="CF112" s="4"/>
      <c r="CG112" s="4"/>
      <c r="CH112" s="4"/>
      <c r="CI112" s="4"/>
      <c r="CJ112" s="4"/>
      <c r="CK112" s="4"/>
      <c r="CL112" s="4"/>
      <c r="CM112" s="4"/>
      <c r="CN112" s="4"/>
      <c r="CO112" s="4"/>
      <c r="CP112" s="4"/>
      <c r="CQ112" s="4"/>
      <c r="CR112" s="4"/>
      <c r="CS112" s="4"/>
      <c r="CT112" s="4"/>
      <c r="CU112" s="4"/>
      <c r="CV112" s="4"/>
      <c r="CW112" s="4"/>
      <c r="CX112" s="4"/>
      <c r="CY112" s="4"/>
      <c r="CZ112" s="4"/>
      <c r="DA112" s="4"/>
      <c r="DB112" s="4"/>
      <c r="DC112" s="4"/>
      <c r="DD112" s="4"/>
      <c r="DE112" s="4"/>
      <c r="DF112" s="4"/>
      <c r="DG112" s="4"/>
      <c r="DH112" s="4"/>
      <c r="DI112" s="4"/>
      <c r="DJ112" s="4"/>
      <c r="DK112" s="4"/>
      <c r="DL112" s="4"/>
      <c r="DM112" s="4"/>
      <c r="DN112" s="4"/>
      <c r="DO112" s="4"/>
      <c r="DP112" s="4"/>
      <c r="DQ112" s="4"/>
      <c r="DR112" s="4"/>
      <c r="DS112" s="4"/>
      <c r="DT112" s="4"/>
      <c r="DU112" s="4"/>
      <c r="DV112" s="4"/>
      <c r="DW112" s="4"/>
      <c r="DX112" s="4"/>
      <c r="DY112" s="4"/>
      <c r="DZ112" s="4"/>
      <c r="EA112" s="4"/>
      <c r="EB112" s="4"/>
      <c r="EC112" s="4"/>
      <c r="ED112" s="4"/>
    </row>
    <row r="113" spans="2:134" ht="30" customHeight="1" thickBot="1" x14ac:dyDescent="0.35">
      <c r="B113" s="27" t="s">
        <v>105</v>
      </c>
      <c r="C113" s="12" t="s">
        <v>38</v>
      </c>
      <c r="D113" s="28"/>
      <c r="E113" s="47"/>
      <c r="F113" s="48"/>
      <c r="G113" s="29"/>
      <c r="H113" s="29" t="str">
        <f t="shared" si="74"/>
        <v/>
      </c>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c r="AP113" s="4"/>
      <c r="AQ113" s="4"/>
      <c r="AR113" s="4"/>
      <c r="AS113" s="4"/>
      <c r="AT113" s="4"/>
      <c r="AU113" s="4"/>
      <c r="AV113" s="4"/>
      <c r="AW113" s="4"/>
      <c r="AX113" s="4"/>
      <c r="AY113" s="4"/>
      <c r="AZ113" s="4"/>
      <c r="BA113" s="4"/>
      <c r="BB113" s="4"/>
      <c r="BC113" s="4"/>
      <c r="BD113" s="4"/>
      <c r="BE113" s="4"/>
      <c r="BF113" s="4"/>
      <c r="BG113" s="4"/>
      <c r="BH113" s="4"/>
      <c r="BI113" s="4"/>
      <c r="BJ113" s="4"/>
      <c r="BK113" s="4"/>
      <c r="BL113" s="4"/>
      <c r="BM113" s="4"/>
      <c r="BN113" s="4"/>
      <c r="BO113" s="4"/>
      <c r="BP113" s="4"/>
      <c r="BQ113" s="4"/>
      <c r="BR113" s="4"/>
      <c r="BS113" s="4"/>
      <c r="BT113" s="4"/>
      <c r="BU113" s="4"/>
      <c r="BV113" s="4"/>
      <c r="BW113" s="4"/>
      <c r="BX113" s="4"/>
      <c r="BY113" s="4"/>
      <c r="BZ113" s="4"/>
      <c r="CA113" s="4"/>
      <c r="CB113" s="4"/>
      <c r="CC113" s="4"/>
      <c r="CD113" s="4"/>
      <c r="CE113" s="4"/>
      <c r="CF113" s="4"/>
      <c r="CG113" s="4"/>
      <c r="CH113" s="4"/>
      <c r="CI113" s="4"/>
      <c r="CJ113" s="4"/>
      <c r="CK113" s="4"/>
      <c r="CL113" s="4"/>
      <c r="CM113" s="4"/>
      <c r="CN113" s="4"/>
      <c r="CO113" s="4"/>
      <c r="CP113" s="4"/>
      <c r="CQ113" s="4"/>
      <c r="CR113" s="4"/>
      <c r="CS113" s="4"/>
      <c r="CT113" s="4"/>
      <c r="CU113" s="4"/>
      <c r="CV113" s="4"/>
      <c r="CW113" s="4"/>
      <c r="CX113" s="4"/>
      <c r="CY113" s="4"/>
      <c r="CZ113" s="4"/>
      <c r="DA113" s="4"/>
      <c r="DB113" s="4"/>
      <c r="DC113" s="4"/>
      <c r="DD113" s="4"/>
      <c r="DE113" s="4"/>
      <c r="DF113" s="4"/>
      <c r="DG113" s="4"/>
      <c r="DH113" s="4"/>
      <c r="DI113" s="4"/>
      <c r="DJ113" s="4"/>
      <c r="DK113" s="4"/>
      <c r="DL113" s="4"/>
      <c r="DM113" s="4"/>
      <c r="DN113" s="4"/>
      <c r="DO113" s="4"/>
      <c r="DP113" s="4"/>
      <c r="DQ113" s="4"/>
      <c r="DR113" s="4"/>
      <c r="DS113" s="4"/>
      <c r="DT113" s="4"/>
      <c r="DU113" s="4"/>
      <c r="DV113" s="4"/>
      <c r="DW113" s="4"/>
      <c r="DX113" s="4"/>
      <c r="DY113" s="4"/>
      <c r="DZ113" s="4"/>
      <c r="EA113" s="4"/>
      <c r="EB113" s="4"/>
      <c r="EC113" s="4"/>
      <c r="ED113" s="4"/>
    </row>
    <row r="114" spans="2:134" ht="30" customHeight="1" thickBot="1" x14ac:dyDescent="0.35">
      <c r="B114" s="62" t="s">
        <v>106</v>
      </c>
      <c r="C114" s="13" t="s">
        <v>38</v>
      </c>
      <c r="D114" s="30">
        <v>0</v>
      </c>
      <c r="E114" s="49">
        <f>F112</f>
        <v>46353</v>
      </c>
      <c r="F114" s="49">
        <f>E114+3</f>
        <v>46356</v>
      </c>
      <c r="G114" s="29"/>
      <c r="H114" s="29">
        <f t="shared" si="74"/>
        <v>4</v>
      </c>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c r="AP114" s="4"/>
      <c r="AQ114" s="4"/>
      <c r="AR114" s="4"/>
      <c r="AS114" s="4"/>
      <c r="AT114" s="4"/>
      <c r="AU114" s="4"/>
      <c r="AV114" s="4"/>
      <c r="AW114" s="4"/>
      <c r="AX114" s="4"/>
      <c r="AY114" s="4"/>
      <c r="AZ114" s="4"/>
      <c r="BA114" s="4"/>
      <c r="BB114" s="4"/>
      <c r="BC114" s="4"/>
      <c r="BD114" s="4"/>
      <c r="BE114" s="4"/>
      <c r="BF114" s="4"/>
      <c r="BG114" s="4"/>
      <c r="BH114" s="4"/>
      <c r="BI114" s="4"/>
      <c r="BJ114" s="4"/>
      <c r="BK114" s="4"/>
      <c r="BL114" s="4"/>
      <c r="BM114" s="4"/>
      <c r="BN114" s="4"/>
      <c r="BO114" s="4"/>
      <c r="BP114" s="4"/>
      <c r="BQ114" s="4"/>
      <c r="BR114" s="4"/>
      <c r="BS114" s="4"/>
      <c r="BT114" s="4"/>
      <c r="BU114" s="4"/>
      <c r="BV114" s="4"/>
      <c r="BW114" s="4"/>
      <c r="BX114" s="4"/>
      <c r="BY114" s="4"/>
      <c r="BZ114" s="4"/>
      <c r="CA114" s="4"/>
      <c r="CB114" s="4"/>
      <c r="CC114" s="4"/>
      <c r="CD114" s="4"/>
      <c r="CE114" s="4"/>
      <c r="CF114" s="4"/>
      <c r="CG114" s="4"/>
      <c r="CH114" s="4"/>
      <c r="CI114" s="4"/>
      <c r="CJ114" s="4"/>
      <c r="CK114" s="4"/>
      <c r="CL114" s="4"/>
      <c r="CM114" s="4"/>
      <c r="CN114" s="4"/>
      <c r="CO114" s="4"/>
      <c r="CP114" s="4"/>
      <c r="CQ114" s="4"/>
      <c r="CR114" s="4"/>
      <c r="CS114" s="4"/>
      <c r="CT114" s="4"/>
      <c r="CU114" s="4"/>
      <c r="CV114" s="4"/>
      <c r="CW114" s="4"/>
      <c r="CX114" s="4"/>
      <c r="CY114" s="4"/>
      <c r="CZ114" s="4"/>
      <c r="DA114" s="4"/>
      <c r="DB114" s="4"/>
      <c r="DC114" s="4"/>
      <c r="DD114" s="4"/>
      <c r="DE114" s="4"/>
      <c r="DF114" s="4"/>
      <c r="DG114" s="4"/>
      <c r="DH114" s="4"/>
      <c r="DI114" s="4"/>
      <c r="DJ114" s="4"/>
      <c r="DK114" s="4"/>
      <c r="DL114" s="4"/>
      <c r="DM114" s="4"/>
      <c r="DN114" s="4"/>
      <c r="DO114" s="4"/>
      <c r="DP114" s="4"/>
      <c r="DQ114" s="4"/>
      <c r="DR114" s="4"/>
      <c r="DS114" s="4"/>
      <c r="DT114" s="4"/>
      <c r="DU114" s="4"/>
      <c r="DV114" s="4"/>
      <c r="DW114" s="4"/>
      <c r="DX114" s="4"/>
      <c r="DY114" s="4"/>
      <c r="DZ114" s="4"/>
      <c r="EA114" s="4"/>
      <c r="EB114" s="4"/>
      <c r="EC114" s="4"/>
      <c r="ED114" s="4"/>
    </row>
    <row r="115" spans="2:134" ht="30" customHeight="1" thickBot="1" x14ac:dyDescent="0.35">
      <c r="B115" s="62" t="s">
        <v>107</v>
      </c>
      <c r="C115" s="13" t="s">
        <v>38</v>
      </c>
      <c r="D115" s="30">
        <v>0</v>
      </c>
      <c r="E115" s="49">
        <f>F114</f>
        <v>46356</v>
      </c>
      <c r="F115" s="49">
        <f>E115+1</f>
        <v>46357</v>
      </c>
      <c r="G115" s="29"/>
      <c r="H115" s="29">
        <f t="shared" si="74"/>
        <v>2</v>
      </c>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c r="AU115" s="4"/>
      <c r="AV115" s="4"/>
      <c r="AW115" s="4"/>
      <c r="AX115" s="4"/>
      <c r="AY115" s="4"/>
      <c r="AZ115" s="4"/>
      <c r="BA115" s="4"/>
      <c r="BB115" s="4"/>
      <c r="BC115" s="4"/>
      <c r="BD115" s="4"/>
      <c r="BE115" s="4"/>
      <c r="BF115" s="4"/>
      <c r="BG115" s="4"/>
      <c r="BH115" s="4"/>
      <c r="BI115" s="4"/>
      <c r="BJ115" s="4"/>
      <c r="BK115" s="4"/>
      <c r="BL115" s="4"/>
      <c r="BM115" s="4"/>
      <c r="BN115" s="4"/>
      <c r="BO115" s="4"/>
      <c r="BP115" s="4"/>
      <c r="BQ115" s="4"/>
      <c r="BR115" s="4"/>
      <c r="BS115" s="4"/>
      <c r="BT115" s="4"/>
      <c r="BU115" s="4"/>
      <c r="BV115" s="4"/>
      <c r="BW115" s="4"/>
      <c r="BX115" s="4"/>
      <c r="BY115" s="4"/>
      <c r="BZ115" s="4"/>
      <c r="CA115" s="4"/>
      <c r="CB115" s="4"/>
      <c r="CC115" s="4"/>
      <c r="CD115" s="4"/>
      <c r="CE115" s="4"/>
      <c r="CF115" s="4"/>
      <c r="CG115" s="4"/>
      <c r="CH115" s="4"/>
      <c r="CI115" s="4"/>
      <c r="CJ115" s="4"/>
      <c r="CK115" s="4"/>
      <c r="CL115" s="4"/>
      <c r="CM115" s="4"/>
      <c r="CN115" s="4"/>
      <c r="CO115" s="4"/>
      <c r="CP115" s="4"/>
      <c r="CQ115" s="4"/>
      <c r="CR115" s="4"/>
      <c r="CS115" s="4"/>
      <c r="CT115" s="4"/>
      <c r="CU115" s="4"/>
      <c r="CV115" s="4"/>
      <c r="CW115" s="4"/>
      <c r="CX115" s="4"/>
      <c r="CY115" s="4"/>
      <c r="CZ115" s="4"/>
      <c r="DA115" s="4"/>
      <c r="DB115" s="4"/>
      <c r="DC115" s="4"/>
      <c r="DD115" s="4"/>
      <c r="DE115" s="4"/>
      <c r="DF115" s="4"/>
      <c r="DG115" s="4"/>
      <c r="DH115" s="4"/>
      <c r="DI115" s="4"/>
      <c r="DJ115" s="4"/>
      <c r="DK115" s="4"/>
      <c r="DL115" s="4"/>
      <c r="DM115" s="4"/>
      <c r="DN115" s="4"/>
      <c r="DO115" s="4"/>
      <c r="DP115" s="4"/>
      <c r="DQ115" s="4"/>
      <c r="DR115" s="4"/>
      <c r="DS115" s="4"/>
      <c r="DT115" s="4"/>
      <c r="DU115" s="4"/>
      <c r="DV115" s="4"/>
      <c r="DW115" s="4"/>
      <c r="DX115" s="4"/>
      <c r="DY115" s="4"/>
      <c r="DZ115" s="4"/>
      <c r="EA115" s="4"/>
      <c r="EB115" s="4"/>
      <c r="EC115" s="4"/>
      <c r="ED115" s="4"/>
    </row>
    <row r="116" spans="2:134" ht="30" customHeight="1" thickBot="1" x14ac:dyDescent="0.35">
      <c r="B116" s="62" t="s">
        <v>108</v>
      </c>
      <c r="C116" s="13" t="s">
        <v>38</v>
      </c>
      <c r="D116" s="30">
        <v>0</v>
      </c>
      <c r="E116" s="49">
        <f>F115</f>
        <v>46357</v>
      </c>
      <c r="F116" s="49">
        <f>E116+1</f>
        <v>46358</v>
      </c>
      <c r="G116" s="29"/>
      <c r="H116" s="29">
        <f t="shared" si="74"/>
        <v>2</v>
      </c>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c r="AT116" s="4"/>
      <c r="AU116" s="4"/>
      <c r="AV116" s="4"/>
      <c r="AW116" s="4"/>
      <c r="AX116" s="4"/>
      <c r="AY116" s="4"/>
      <c r="AZ116" s="4"/>
      <c r="BA116" s="4"/>
      <c r="BB116" s="4"/>
      <c r="BC116" s="4"/>
      <c r="BD116" s="4"/>
      <c r="BE116" s="4"/>
      <c r="BF116" s="4"/>
      <c r="BG116" s="4"/>
      <c r="BH116" s="4"/>
      <c r="BI116" s="4"/>
      <c r="BJ116" s="4"/>
      <c r="BK116" s="4"/>
      <c r="BL116" s="4"/>
      <c r="BM116" s="4"/>
      <c r="BN116" s="4"/>
      <c r="BO116" s="4"/>
      <c r="BP116" s="4"/>
      <c r="BQ116" s="4"/>
      <c r="BR116" s="4"/>
      <c r="BS116" s="4"/>
      <c r="BT116" s="4"/>
      <c r="BU116" s="4"/>
      <c r="BV116" s="4"/>
      <c r="BW116" s="4"/>
      <c r="BX116" s="4"/>
      <c r="BY116" s="4"/>
      <c r="BZ116" s="4"/>
      <c r="CA116" s="4"/>
      <c r="CB116" s="4"/>
      <c r="CC116" s="4"/>
      <c r="CD116" s="4"/>
      <c r="CE116" s="4"/>
      <c r="CF116" s="4"/>
      <c r="CG116" s="4"/>
      <c r="CH116" s="4"/>
      <c r="CI116" s="4"/>
      <c r="CJ116" s="4"/>
      <c r="CK116" s="4"/>
      <c r="CL116" s="4"/>
      <c r="CM116" s="4"/>
      <c r="CN116" s="4"/>
      <c r="CO116" s="4"/>
      <c r="CP116" s="4"/>
      <c r="CQ116" s="4"/>
      <c r="CR116" s="4"/>
      <c r="CS116" s="4"/>
      <c r="CT116" s="4"/>
      <c r="CU116" s="4"/>
      <c r="CV116" s="4"/>
      <c r="CW116" s="4"/>
      <c r="CX116" s="4"/>
      <c r="CY116" s="4"/>
      <c r="CZ116" s="4"/>
      <c r="DA116" s="4"/>
      <c r="DB116" s="4"/>
      <c r="DC116" s="4"/>
      <c r="DD116" s="4"/>
      <c r="DE116" s="4"/>
      <c r="DF116" s="4"/>
      <c r="DG116" s="4"/>
      <c r="DH116" s="4"/>
      <c r="DI116" s="4"/>
      <c r="DJ116" s="4"/>
      <c r="DK116" s="4"/>
      <c r="DL116" s="4"/>
      <c r="DM116" s="4"/>
      <c r="DN116" s="4"/>
      <c r="DO116" s="4"/>
      <c r="DP116" s="4"/>
      <c r="DQ116" s="4"/>
      <c r="DR116" s="4"/>
      <c r="DS116" s="4"/>
      <c r="DT116" s="4"/>
      <c r="DU116" s="4"/>
      <c r="DV116" s="4"/>
      <c r="DW116" s="4"/>
      <c r="DX116" s="4"/>
      <c r="DY116" s="4"/>
      <c r="DZ116" s="4"/>
      <c r="EA116" s="4"/>
      <c r="EB116" s="4"/>
      <c r="EC116" s="4"/>
      <c r="ED116" s="4"/>
    </row>
    <row r="117" spans="2:134" ht="30" customHeight="1" thickBot="1" x14ac:dyDescent="0.35">
      <c r="B117" s="57" t="s">
        <v>250</v>
      </c>
      <c r="C117" s="54" t="s">
        <v>38</v>
      </c>
      <c r="D117" s="55"/>
      <c r="E117" s="56"/>
      <c r="F117" s="56"/>
      <c r="G117" s="29"/>
      <c r="H117" s="29" t="str">
        <f t="shared" si="74"/>
        <v/>
      </c>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c r="AT117" s="4"/>
      <c r="AU117" s="4"/>
      <c r="AV117" s="4"/>
      <c r="AW117" s="4"/>
      <c r="AX117" s="4"/>
      <c r="AY117" s="4"/>
      <c r="AZ117" s="4"/>
      <c r="BA117" s="4"/>
      <c r="BB117" s="4"/>
      <c r="BC117" s="4"/>
      <c r="BD117" s="4"/>
      <c r="BE117" s="4"/>
      <c r="BF117" s="4"/>
      <c r="BG117" s="4"/>
      <c r="BH117" s="4"/>
      <c r="BI117" s="4"/>
      <c r="BJ117" s="4"/>
      <c r="BK117" s="4"/>
      <c r="BL117" s="4"/>
      <c r="BM117" s="4"/>
      <c r="BN117" s="4"/>
      <c r="BO117" s="4"/>
      <c r="BP117" s="4"/>
      <c r="BQ117" s="4"/>
      <c r="BR117" s="4"/>
      <c r="BS117" s="4"/>
      <c r="BT117" s="4"/>
      <c r="BU117" s="4"/>
      <c r="BV117" s="4"/>
      <c r="BW117" s="4"/>
      <c r="BX117" s="4"/>
      <c r="BY117" s="4"/>
      <c r="BZ117" s="4"/>
      <c r="CA117" s="4"/>
      <c r="CB117" s="4"/>
      <c r="CC117" s="4"/>
      <c r="CD117" s="4"/>
      <c r="CE117" s="4"/>
      <c r="CF117" s="4"/>
      <c r="CG117" s="4"/>
      <c r="CH117" s="4"/>
      <c r="CI117" s="4"/>
      <c r="CJ117" s="4"/>
      <c r="CK117" s="4"/>
      <c r="CL117" s="4"/>
      <c r="CM117" s="4"/>
      <c r="CN117" s="4"/>
      <c r="CO117" s="4"/>
      <c r="CP117" s="4"/>
      <c r="CQ117" s="4"/>
      <c r="CR117" s="4"/>
      <c r="CS117" s="4"/>
      <c r="CT117" s="4"/>
      <c r="CU117" s="4"/>
      <c r="CV117" s="4"/>
      <c r="CW117" s="4"/>
      <c r="CX117" s="4"/>
      <c r="CY117" s="4"/>
      <c r="CZ117" s="4"/>
      <c r="DA117" s="4"/>
      <c r="DB117" s="4"/>
      <c r="DC117" s="4"/>
      <c r="DD117" s="4"/>
      <c r="DE117" s="4"/>
      <c r="DF117" s="4"/>
      <c r="DG117" s="4"/>
      <c r="DH117" s="4"/>
      <c r="DI117" s="4"/>
      <c r="DJ117" s="4"/>
      <c r="DK117" s="4"/>
      <c r="DL117" s="4"/>
      <c r="DM117" s="4"/>
      <c r="DN117" s="4"/>
      <c r="DO117" s="4"/>
      <c r="DP117" s="4"/>
      <c r="DQ117" s="4"/>
      <c r="DR117" s="4"/>
      <c r="DS117" s="4"/>
      <c r="DT117" s="4"/>
      <c r="DU117" s="4"/>
      <c r="DV117" s="4"/>
      <c r="DW117" s="4"/>
      <c r="DX117" s="4"/>
      <c r="DY117" s="4"/>
      <c r="DZ117" s="4"/>
      <c r="EA117" s="4"/>
      <c r="EB117" s="4"/>
      <c r="EC117" s="4"/>
      <c r="ED117" s="4"/>
    </row>
    <row r="118" spans="2:134" ht="30" customHeight="1" thickBot="1" x14ac:dyDescent="0.35">
      <c r="B118" s="27" t="s">
        <v>251</v>
      </c>
      <c r="C118" s="12" t="s">
        <v>38</v>
      </c>
      <c r="D118" s="28"/>
      <c r="E118" s="47"/>
      <c r="F118" s="48"/>
      <c r="G118" s="29"/>
      <c r="H118" s="29" t="str">
        <f t="shared" si="74"/>
        <v/>
      </c>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c r="AU118" s="4"/>
      <c r="AV118" s="4"/>
      <c r="AW118" s="4"/>
      <c r="AX118" s="4"/>
      <c r="AY118" s="4"/>
      <c r="AZ118" s="4"/>
      <c r="BA118" s="4"/>
      <c r="BB118" s="4"/>
      <c r="BC118" s="4"/>
      <c r="BD118" s="4"/>
      <c r="BE118" s="4"/>
      <c r="BF118" s="4"/>
      <c r="BG118" s="4"/>
      <c r="BH118" s="4"/>
      <c r="BI118" s="4"/>
      <c r="BJ118" s="4"/>
      <c r="BK118" s="4"/>
      <c r="BL118" s="4"/>
      <c r="BM118" s="4"/>
      <c r="BN118" s="4"/>
      <c r="BO118" s="4"/>
      <c r="BP118" s="4"/>
      <c r="BQ118" s="4"/>
      <c r="BR118" s="4"/>
      <c r="BS118" s="4"/>
      <c r="BT118" s="4"/>
      <c r="BU118" s="4"/>
      <c r="BV118" s="4"/>
      <c r="BW118" s="4"/>
      <c r="BX118" s="4"/>
      <c r="BY118" s="4"/>
      <c r="BZ118" s="4"/>
      <c r="CA118" s="4"/>
      <c r="CB118" s="4"/>
      <c r="CC118" s="4"/>
      <c r="CD118" s="4"/>
      <c r="CE118" s="4"/>
      <c r="CF118" s="4"/>
      <c r="CG118" s="4"/>
      <c r="CH118" s="4"/>
      <c r="CI118" s="4"/>
      <c r="CJ118" s="4"/>
      <c r="CK118" s="4"/>
      <c r="CL118" s="4"/>
      <c r="CM118" s="4"/>
      <c r="CN118" s="4"/>
      <c r="CO118" s="4"/>
      <c r="CP118" s="4"/>
      <c r="CQ118" s="4"/>
      <c r="CR118" s="4"/>
      <c r="CS118" s="4"/>
      <c r="CT118" s="4"/>
      <c r="CU118" s="4"/>
      <c r="CV118" s="4"/>
      <c r="CW118" s="4"/>
      <c r="CX118" s="4"/>
      <c r="CY118" s="4"/>
      <c r="CZ118" s="4"/>
      <c r="DA118" s="4"/>
      <c r="DB118" s="4"/>
      <c r="DC118" s="4"/>
      <c r="DD118" s="4"/>
      <c r="DE118" s="4"/>
      <c r="DF118" s="4"/>
      <c r="DG118" s="4"/>
      <c r="DH118" s="4"/>
      <c r="DI118" s="4"/>
      <c r="DJ118" s="4"/>
      <c r="DK118" s="4"/>
      <c r="DL118" s="4"/>
      <c r="DM118" s="4"/>
      <c r="DN118" s="4"/>
      <c r="DO118" s="4"/>
      <c r="DP118" s="4"/>
      <c r="DQ118" s="4"/>
      <c r="DR118" s="4"/>
      <c r="DS118" s="4"/>
      <c r="DT118" s="4"/>
      <c r="DU118" s="4"/>
      <c r="DV118" s="4"/>
      <c r="DW118" s="4"/>
      <c r="DX118" s="4"/>
      <c r="DY118" s="4"/>
      <c r="DZ118" s="4"/>
      <c r="EA118" s="4"/>
      <c r="EB118" s="4"/>
      <c r="EC118" s="4"/>
      <c r="ED118" s="4"/>
    </row>
    <row r="119" spans="2:134" ht="30" customHeight="1" thickBot="1" x14ac:dyDescent="0.35">
      <c r="B119" s="77" t="s">
        <v>252</v>
      </c>
      <c r="C119" s="13" t="s">
        <v>38</v>
      </c>
      <c r="D119" s="30">
        <v>0</v>
      </c>
      <c r="E119" s="49">
        <f>F116+1</f>
        <v>46359</v>
      </c>
      <c r="F119" s="49">
        <f>E119</f>
        <v>46359</v>
      </c>
      <c r="G119" s="29"/>
      <c r="H119" s="29">
        <f t="shared" si="74"/>
        <v>1</v>
      </c>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c r="AT119" s="4"/>
      <c r="AU119" s="4"/>
      <c r="AV119" s="4"/>
      <c r="AW119" s="4"/>
      <c r="AX119" s="4"/>
      <c r="AY119" s="4"/>
      <c r="AZ119" s="4"/>
      <c r="BA119" s="4"/>
      <c r="BB119" s="4"/>
      <c r="BC119" s="4"/>
      <c r="BD119" s="4"/>
      <c r="BE119" s="4"/>
      <c r="BF119" s="4"/>
      <c r="BG119" s="4"/>
      <c r="BH119" s="4"/>
      <c r="BI119" s="4"/>
      <c r="BJ119" s="4"/>
      <c r="BK119" s="4"/>
      <c r="BL119" s="4"/>
      <c r="BM119" s="4"/>
      <c r="BN119" s="4"/>
      <c r="BO119" s="4"/>
      <c r="BP119" s="4"/>
      <c r="BQ119" s="4"/>
      <c r="BR119" s="4"/>
      <c r="BS119" s="4"/>
      <c r="BT119" s="4"/>
      <c r="BU119" s="4"/>
      <c r="BV119" s="4"/>
      <c r="BW119" s="4"/>
      <c r="BX119" s="4"/>
      <c r="BY119" s="4"/>
      <c r="BZ119" s="4"/>
      <c r="CA119" s="4"/>
      <c r="CB119" s="4"/>
      <c r="CC119" s="4"/>
      <c r="CD119" s="4"/>
      <c r="CE119" s="4"/>
      <c r="CF119" s="4"/>
      <c r="CG119" s="4"/>
      <c r="CH119" s="4"/>
      <c r="CI119" s="4"/>
      <c r="CJ119" s="4"/>
      <c r="CK119" s="4"/>
      <c r="CL119" s="4"/>
      <c r="CM119" s="4"/>
      <c r="CN119" s="4"/>
      <c r="CO119" s="4"/>
      <c r="CP119" s="4"/>
      <c r="CQ119" s="4"/>
      <c r="CR119" s="4"/>
      <c r="CS119" s="4"/>
      <c r="CT119" s="4"/>
      <c r="CU119" s="4"/>
      <c r="CV119" s="4"/>
      <c r="CW119" s="4"/>
      <c r="CX119" s="4"/>
      <c r="CY119" s="4"/>
      <c r="CZ119" s="4"/>
      <c r="DA119" s="4"/>
      <c r="DB119" s="4"/>
      <c r="DC119" s="4"/>
      <c r="DD119" s="4"/>
      <c r="DE119" s="4"/>
      <c r="DF119" s="4"/>
      <c r="DG119" s="4"/>
      <c r="DH119" s="4"/>
      <c r="DI119" s="4"/>
      <c r="DJ119" s="4"/>
      <c r="DK119" s="4"/>
      <c r="DL119" s="4"/>
      <c r="DM119" s="4"/>
      <c r="DN119" s="4"/>
      <c r="DO119" s="4"/>
      <c r="DP119" s="4"/>
      <c r="DQ119" s="4"/>
      <c r="DR119" s="4"/>
      <c r="DS119" s="4"/>
      <c r="DT119" s="4"/>
      <c r="DU119" s="4"/>
      <c r="DV119" s="4"/>
      <c r="DW119" s="4"/>
      <c r="DX119" s="4"/>
      <c r="DY119" s="4"/>
      <c r="DZ119" s="4"/>
      <c r="EA119" s="4"/>
      <c r="EB119" s="4"/>
      <c r="EC119" s="4"/>
      <c r="ED119" s="4"/>
    </row>
    <row r="120" spans="2:134" ht="30" customHeight="1" thickBot="1" x14ac:dyDescent="0.35">
      <c r="B120" s="77" t="s">
        <v>253</v>
      </c>
      <c r="C120" s="13" t="s">
        <v>38</v>
      </c>
      <c r="D120" s="30">
        <v>0</v>
      </c>
      <c r="E120" s="49">
        <f>F119</f>
        <v>46359</v>
      </c>
      <c r="F120" s="49">
        <f>E120</f>
        <v>46359</v>
      </c>
      <c r="G120" s="29"/>
      <c r="H120" s="29">
        <f t="shared" si="74"/>
        <v>1</v>
      </c>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c r="AT120" s="4"/>
      <c r="AU120" s="4"/>
      <c r="AV120" s="4"/>
      <c r="AW120" s="4"/>
      <c r="AX120" s="4"/>
      <c r="AY120" s="4"/>
      <c r="AZ120" s="4"/>
      <c r="BA120" s="4"/>
      <c r="BB120" s="4"/>
      <c r="BC120" s="4"/>
      <c r="BD120" s="4"/>
      <c r="BE120" s="4"/>
      <c r="BF120" s="4"/>
      <c r="BG120" s="4"/>
      <c r="BH120" s="4"/>
      <c r="BI120" s="4"/>
      <c r="BJ120" s="4"/>
      <c r="BK120" s="4"/>
      <c r="BL120" s="4"/>
      <c r="BM120" s="4"/>
      <c r="BN120" s="4"/>
      <c r="BO120" s="4"/>
      <c r="BP120" s="4"/>
      <c r="BQ120" s="4"/>
      <c r="BR120" s="4"/>
      <c r="BS120" s="4"/>
      <c r="BT120" s="4"/>
      <c r="BU120" s="4"/>
      <c r="BV120" s="4"/>
      <c r="BW120" s="4"/>
      <c r="BX120" s="4"/>
      <c r="BY120" s="4"/>
      <c r="BZ120" s="4"/>
      <c r="CA120" s="4"/>
      <c r="CB120" s="4"/>
      <c r="CC120" s="4"/>
      <c r="CD120" s="4"/>
      <c r="CE120" s="4"/>
      <c r="CF120" s="4"/>
      <c r="CG120" s="4"/>
      <c r="CH120" s="4"/>
      <c r="CI120" s="4"/>
      <c r="CJ120" s="4"/>
      <c r="CK120" s="4"/>
      <c r="CL120" s="4"/>
      <c r="CM120" s="4"/>
      <c r="CN120" s="4"/>
      <c r="CO120" s="4"/>
      <c r="CP120" s="4"/>
      <c r="CQ120" s="4"/>
      <c r="CR120" s="4"/>
      <c r="CS120" s="4"/>
      <c r="CT120" s="4"/>
      <c r="CU120" s="4"/>
      <c r="CV120" s="4"/>
      <c r="CW120" s="4"/>
      <c r="CX120" s="4"/>
      <c r="CY120" s="4"/>
      <c r="CZ120" s="4"/>
      <c r="DA120" s="4"/>
      <c r="DB120" s="4"/>
      <c r="DC120" s="4"/>
      <c r="DD120" s="4"/>
      <c r="DE120" s="4"/>
      <c r="DF120" s="4"/>
      <c r="DG120" s="4"/>
      <c r="DH120" s="4"/>
      <c r="DI120" s="4"/>
      <c r="DJ120" s="4"/>
      <c r="DK120" s="4"/>
      <c r="DL120" s="4"/>
      <c r="DM120" s="4"/>
      <c r="DN120" s="4"/>
      <c r="DO120" s="4"/>
      <c r="DP120" s="4"/>
      <c r="DQ120" s="4"/>
      <c r="DR120" s="4"/>
      <c r="DS120" s="4"/>
      <c r="DT120" s="4"/>
      <c r="DU120" s="4"/>
      <c r="DV120" s="4"/>
      <c r="DW120" s="4"/>
      <c r="DX120" s="4"/>
      <c r="DY120" s="4"/>
      <c r="DZ120" s="4"/>
      <c r="EA120" s="4"/>
      <c r="EB120" s="4"/>
      <c r="EC120" s="4"/>
      <c r="ED120" s="4"/>
    </row>
    <row r="121" spans="2:134" ht="30" customHeight="1" thickBot="1" x14ac:dyDescent="0.35">
      <c r="B121" s="77" t="s">
        <v>254</v>
      </c>
      <c r="C121" s="13" t="s">
        <v>38</v>
      </c>
      <c r="D121" s="30">
        <v>0</v>
      </c>
      <c r="E121" s="49">
        <f>F120</f>
        <v>46359</v>
      </c>
      <c r="F121" s="49">
        <f>E121</f>
        <v>46359</v>
      </c>
      <c r="G121" s="29"/>
      <c r="H121" s="29">
        <f t="shared" si="74"/>
        <v>1</v>
      </c>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c r="AT121" s="4"/>
      <c r="AU121" s="4"/>
      <c r="AV121" s="4"/>
      <c r="AW121" s="4"/>
      <c r="AX121" s="4"/>
      <c r="AY121" s="4"/>
      <c r="AZ121" s="4"/>
      <c r="BA121" s="4"/>
      <c r="BB121" s="4"/>
      <c r="BC121" s="4"/>
      <c r="BD121" s="4"/>
      <c r="BE121" s="4"/>
      <c r="BF121" s="4"/>
      <c r="BG121" s="4"/>
      <c r="BH121" s="4"/>
      <c r="BI121" s="4"/>
      <c r="BJ121" s="4"/>
      <c r="BK121" s="4"/>
      <c r="BL121" s="4"/>
      <c r="BM121" s="4"/>
      <c r="BN121" s="4"/>
      <c r="BO121" s="4"/>
      <c r="BP121" s="4"/>
      <c r="BQ121" s="4"/>
      <c r="BR121" s="4"/>
      <c r="BS121" s="4"/>
      <c r="BT121" s="4"/>
      <c r="BU121" s="4"/>
      <c r="BV121" s="4"/>
      <c r="BW121" s="4"/>
      <c r="BX121" s="4"/>
      <c r="BY121" s="4"/>
      <c r="BZ121" s="4"/>
      <c r="CA121" s="4"/>
      <c r="CB121" s="4"/>
      <c r="CC121" s="4"/>
      <c r="CD121" s="4"/>
      <c r="CE121" s="4"/>
      <c r="CF121" s="4"/>
      <c r="CG121" s="4"/>
      <c r="CH121" s="4"/>
      <c r="CI121" s="4"/>
      <c r="CJ121" s="4"/>
      <c r="CK121" s="4"/>
      <c r="CL121" s="4"/>
      <c r="CM121" s="4"/>
      <c r="CN121" s="4"/>
      <c r="CO121" s="4"/>
      <c r="CP121" s="4"/>
      <c r="CQ121" s="4"/>
      <c r="CR121" s="4"/>
      <c r="CS121" s="4"/>
      <c r="CT121" s="4"/>
      <c r="CU121" s="4"/>
      <c r="CV121" s="4"/>
      <c r="CW121" s="4"/>
      <c r="CX121" s="4"/>
      <c r="CY121" s="4"/>
      <c r="CZ121" s="4"/>
      <c r="DA121" s="4"/>
      <c r="DB121" s="4"/>
      <c r="DC121" s="4"/>
      <c r="DD121" s="4"/>
      <c r="DE121" s="4"/>
      <c r="DF121" s="4"/>
      <c r="DG121" s="4"/>
      <c r="DH121" s="4"/>
      <c r="DI121" s="4"/>
      <c r="DJ121" s="4"/>
      <c r="DK121" s="4"/>
      <c r="DL121" s="4"/>
      <c r="DM121" s="4"/>
      <c r="DN121" s="4"/>
      <c r="DO121" s="4"/>
      <c r="DP121" s="4"/>
      <c r="DQ121" s="4"/>
      <c r="DR121" s="4"/>
      <c r="DS121" s="4"/>
      <c r="DT121" s="4"/>
      <c r="DU121" s="4"/>
      <c r="DV121" s="4"/>
      <c r="DW121" s="4"/>
      <c r="DX121" s="4"/>
      <c r="DY121" s="4"/>
      <c r="DZ121" s="4"/>
      <c r="EA121" s="4"/>
      <c r="EB121" s="4"/>
      <c r="EC121" s="4"/>
      <c r="ED121" s="4"/>
    </row>
    <row r="122" spans="2:134" ht="30" customHeight="1" thickBot="1" x14ac:dyDescent="0.35">
      <c r="B122" s="27" t="s">
        <v>87</v>
      </c>
      <c r="C122" s="12" t="s">
        <v>38</v>
      </c>
      <c r="D122" s="28"/>
      <c r="E122" s="47"/>
      <c r="F122" s="48"/>
      <c r="G122" s="29"/>
      <c r="H122" s="29" t="str">
        <f t="shared" si="74"/>
        <v/>
      </c>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c r="AP122" s="4"/>
      <c r="AQ122" s="4"/>
      <c r="AR122" s="4"/>
      <c r="AS122" s="4"/>
      <c r="AT122" s="4"/>
      <c r="AU122" s="4"/>
      <c r="AV122" s="4"/>
      <c r="AW122" s="4"/>
      <c r="AX122" s="4"/>
      <c r="AY122" s="4"/>
      <c r="AZ122" s="4"/>
      <c r="BA122" s="4"/>
      <c r="BB122" s="4"/>
      <c r="BC122" s="4"/>
      <c r="BD122" s="4"/>
      <c r="BE122" s="4"/>
      <c r="BF122" s="4"/>
      <c r="BG122" s="4"/>
      <c r="BH122" s="4"/>
      <c r="BI122" s="4"/>
      <c r="BJ122" s="4"/>
      <c r="BK122" s="4"/>
      <c r="BL122" s="4"/>
      <c r="BM122" s="4"/>
      <c r="BN122" s="4"/>
      <c r="BO122" s="4"/>
      <c r="BP122" s="4"/>
      <c r="BQ122" s="4"/>
      <c r="BR122" s="4"/>
      <c r="BS122" s="4"/>
      <c r="BT122" s="4"/>
      <c r="BU122" s="4"/>
      <c r="BV122" s="4"/>
      <c r="BW122" s="4"/>
      <c r="BX122" s="4"/>
      <c r="BY122" s="4"/>
      <c r="BZ122" s="4"/>
      <c r="CA122" s="4"/>
      <c r="CB122" s="4"/>
      <c r="CC122" s="4"/>
      <c r="CD122" s="4"/>
      <c r="CE122" s="4"/>
      <c r="CF122" s="4"/>
      <c r="CG122" s="4"/>
      <c r="CH122" s="4"/>
      <c r="CI122" s="4"/>
      <c r="CJ122" s="4"/>
      <c r="CK122" s="4"/>
      <c r="CL122" s="4"/>
      <c r="CM122" s="4"/>
      <c r="CN122" s="4"/>
      <c r="CO122" s="4"/>
      <c r="CP122" s="4"/>
      <c r="CQ122" s="4"/>
      <c r="CR122" s="4"/>
      <c r="CS122" s="4"/>
      <c r="CT122" s="4"/>
      <c r="CU122" s="4"/>
      <c r="CV122" s="4"/>
      <c r="CW122" s="4"/>
      <c r="CX122" s="4"/>
      <c r="CY122" s="4"/>
      <c r="CZ122" s="4"/>
      <c r="DA122" s="4"/>
      <c r="DB122" s="4"/>
      <c r="DC122" s="4"/>
      <c r="DD122" s="4"/>
      <c r="DE122" s="4"/>
      <c r="DF122" s="4"/>
      <c r="DG122" s="4"/>
      <c r="DH122" s="4"/>
      <c r="DI122" s="4"/>
      <c r="DJ122" s="4"/>
      <c r="DK122" s="4"/>
      <c r="DL122" s="4"/>
      <c r="DM122" s="4"/>
      <c r="DN122" s="4"/>
      <c r="DO122" s="4"/>
      <c r="DP122" s="4"/>
      <c r="DQ122" s="4"/>
      <c r="DR122" s="4"/>
      <c r="DS122" s="4"/>
      <c r="DT122" s="4"/>
      <c r="DU122" s="4"/>
      <c r="DV122" s="4"/>
      <c r="DW122" s="4"/>
      <c r="DX122" s="4"/>
      <c r="DY122" s="4"/>
      <c r="DZ122" s="4"/>
      <c r="EA122" s="4"/>
      <c r="EB122" s="4"/>
      <c r="EC122" s="4"/>
      <c r="ED122" s="4"/>
    </row>
    <row r="123" spans="2:134" ht="30" customHeight="1" thickBot="1" x14ac:dyDescent="0.35">
      <c r="B123" s="62" t="s">
        <v>88</v>
      </c>
      <c r="C123" s="13" t="s">
        <v>38</v>
      </c>
      <c r="D123" s="30">
        <v>0</v>
      </c>
      <c r="E123" s="49">
        <f>F121+1</f>
        <v>46360</v>
      </c>
      <c r="F123" s="49">
        <f>E123</f>
        <v>46360</v>
      </c>
      <c r="G123" s="29"/>
      <c r="H123" s="29">
        <f t="shared" si="74"/>
        <v>1</v>
      </c>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c r="AP123" s="4"/>
      <c r="AQ123" s="4"/>
      <c r="AR123" s="4"/>
      <c r="AS123" s="4"/>
      <c r="AT123" s="4"/>
      <c r="AU123" s="4"/>
      <c r="AV123" s="4"/>
      <c r="AW123" s="4"/>
      <c r="AX123" s="4"/>
      <c r="AY123" s="4"/>
      <c r="AZ123" s="4"/>
      <c r="BA123" s="4"/>
      <c r="BB123" s="4"/>
      <c r="BC123" s="4"/>
      <c r="BD123" s="4"/>
      <c r="BE123" s="4"/>
      <c r="BF123" s="4"/>
      <c r="BG123" s="4"/>
      <c r="BH123" s="4"/>
      <c r="BI123" s="4"/>
      <c r="BJ123" s="4"/>
      <c r="BK123" s="4"/>
      <c r="BL123" s="4"/>
      <c r="BM123" s="4"/>
      <c r="BN123" s="4"/>
      <c r="BO123" s="4"/>
      <c r="BP123" s="4"/>
      <c r="BQ123" s="4"/>
      <c r="BR123" s="4"/>
      <c r="BS123" s="4"/>
      <c r="BT123" s="4"/>
      <c r="BU123" s="4"/>
      <c r="BV123" s="4"/>
      <c r="BW123" s="4"/>
      <c r="BX123" s="4"/>
      <c r="BY123" s="4"/>
      <c r="BZ123" s="4"/>
      <c r="CA123" s="4"/>
      <c r="CB123" s="4"/>
      <c r="CC123" s="4"/>
      <c r="CD123" s="4"/>
      <c r="CE123" s="4"/>
      <c r="CF123" s="4"/>
      <c r="CG123" s="4"/>
      <c r="CH123" s="4"/>
      <c r="CI123" s="4"/>
      <c r="CJ123" s="4"/>
      <c r="CK123" s="4"/>
      <c r="CL123" s="4"/>
      <c r="CM123" s="4"/>
      <c r="CN123" s="4"/>
      <c r="CO123" s="4"/>
      <c r="CP123" s="4"/>
      <c r="CQ123" s="4"/>
      <c r="CR123" s="4"/>
      <c r="CS123" s="4"/>
      <c r="CT123" s="4"/>
      <c r="CU123" s="4"/>
      <c r="CV123" s="4"/>
      <c r="CW123" s="4"/>
      <c r="CX123" s="4"/>
      <c r="CY123" s="4"/>
      <c r="CZ123" s="4"/>
      <c r="DA123" s="4"/>
      <c r="DB123" s="4"/>
      <c r="DC123" s="4"/>
      <c r="DD123" s="4"/>
      <c r="DE123" s="4"/>
      <c r="DF123" s="4"/>
      <c r="DG123" s="4"/>
      <c r="DH123" s="4"/>
      <c r="DI123" s="4"/>
      <c r="DJ123" s="4"/>
      <c r="DK123" s="4"/>
      <c r="DL123" s="4"/>
      <c r="DM123" s="4"/>
      <c r="DN123" s="4"/>
      <c r="DO123" s="4"/>
      <c r="DP123" s="4"/>
      <c r="DQ123" s="4"/>
      <c r="DR123" s="4"/>
      <c r="DS123" s="4"/>
      <c r="DT123" s="4"/>
      <c r="DU123" s="4"/>
      <c r="DV123" s="4"/>
      <c r="DW123" s="4"/>
      <c r="DX123" s="4"/>
      <c r="DY123" s="4"/>
      <c r="DZ123" s="4"/>
      <c r="EA123" s="4"/>
      <c r="EB123" s="4"/>
      <c r="EC123" s="4"/>
      <c r="ED123" s="4"/>
    </row>
    <row r="124" spans="2:134" ht="30" customHeight="1" thickBot="1" x14ac:dyDescent="0.35">
      <c r="B124" s="27" t="s">
        <v>258</v>
      </c>
      <c r="C124" s="12" t="s">
        <v>38</v>
      </c>
      <c r="D124" s="28"/>
      <c r="E124" s="47"/>
      <c r="F124" s="48"/>
      <c r="G124" s="29"/>
      <c r="H124" s="29" t="str">
        <f t="shared" si="74"/>
        <v/>
      </c>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c r="AP124" s="4"/>
      <c r="AQ124" s="4"/>
      <c r="AR124" s="4"/>
      <c r="AS124" s="4"/>
      <c r="AT124" s="4"/>
      <c r="AU124" s="4"/>
      <c r="AV124" s="4"/>
      <c r="AW124" s="4"/>
      <c r="AX124" s="4"/>
      <c r="AY124" s="4"/>
      <c r="AZ124" s="4"/>
      <c r="BA124" s="4"/>
      <c r="BB124" s="4"/>
      <c r="BC124" s="4"/>
      <c r="BD124" s="4"/>
      <c r="BE124" s="4"/>
      <c r="BF124" s="4"/>
      <c r="BG124" s="4"/>
      <c r="BH124" s="4"/>
      <c r="BI124" s="4"/>
      <c r="BJ124" s="4"/>
      <c r="BK124" s="4"/>
      <c r="BL124" s="4"/>
      <c r="BM124" s="4"/>
      <c r="BN124" s="4"/>
      <c r="BO124" s="4"/>
      <c r="BP124" s="4"/>
      <c r="BQ124" s="4"/>
      <c r="BR124" s="4"/>
      <c r="BS124" s="4"/>
      <c r="BT124" s="4"/>
      <c r="BU124" s="4"/>
      <c r="BV124" s="4"/>
      <c r="BW124" s="4"/>
      <c r="BX124" s="4"/>
      <c r="BY124" s="4"/>
      <c r="BZ124" s="4"/>
      <c r="CA124" s="4"/>
      <c r="CB124" s="4"/>
      <c r="CC124" s="4"/>
      <c r="CD124" s="4"/>
      <c r="CE124" s="4"/>
      <c r="CF124" s="4"/>
      <c r="CG124" s="4"/>
      <c r="CH124" s="4"/>
      <c r="CI124" s="4"/>
      <c r="CJ124" s="4"/>
      <c r="CK124" s="4"/>
      <c r="CL124" s="4"/>
      <c r="CM124" s="4"/>
      <c r="CN124" s="4"/>
      <c r="CO124" s="4"/>
      <c r="CP124" s="4"/>
      <c r="CQ124" s="4"/>
      <c r="CR124" s="4"/>
      <c r="CS124" s="4"/>
      <c r="CT124" s="4"/>
      <c r="CU124" s="4"/>
      <c r="CV124" s="4"/>
      <c r="CW124" s="4"/>
      <c r="CX124" s="4"/>
      <c r="CY124" s="4"/>
      <c r="CZ124" s="4"/>
      <c r="DA124" s="4"/>
      <c r="DB124" s="4"/>
      <c r="DC124" s="4"/>
      <c r="DD124" s="4"/>
      <c r="DE124" s="4"/>
      <c r="DF124" s="4"/>
      <c r="DG124" s="4"/>
      <c r="DH124" s="4"/>
      <c r="DI124" s="4"/>
      <c r="DJ124" s="4"/>
      <c r="DK124" s="4"/>
      <c r="DL124" s="4"/>
      <c r="DM124" s="4"/>
      <c r="DN124" s="4"/>
      <c r="DO124" s="4"/>
      <c r="DP124" s="4"/>
      <c r="DQ124" s="4"/>
      <c r="DR124" s="4"/>
      <c r="DS124" s="4"/>
      <c r="DT124" s="4"/>
      <c r="DU124" s="4"/>
      <c r="DV124" s="4"/>
      <c r="DW124" s="4"/>
      <c r="DX124" s="4"/>
      <c r="DY124" s="4"/>
      <c r="DZ124" s="4"/>
      <c r="EA124" s="4"/>
      <c r="EB124" s="4"/>
      <c r="EC124" s="4"/>
      <c r="ED124" s="4"/>
    </row>
    <row r="125" spans="2:134" ht="30" customHeight="1" thickBot="1" x14ac:dyDescent="0.35">
      <c r="B125" s="77" t="s">
        <v>255</v>
      </c>
      <c r="C125" s="13" t="s">
        <v>38</v>
      </c>
      <c r="D125" s="30">
        <v>0</v>
      </c>
      <c r="E125" s="49">
        <f>F123</f>
        <v>46360</v>
      </c>
      <c r="F125" s="49">
        <f>E125</f>
        <v>46360</v>
      </c>
      <c r="G125" s="29"/>
      <c r="H125" s="29">
        <f t="shared" si="74"/>
        <v>1</v>
      </c>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c r="AP125" s="4"/>
      <c r="AQ125" s="4"/>
      <c r="AR125" s="4"/>
      <c r="AS125" s="4"/>
      <c r="AT125" s="4"/>
      <c r="AU125" s="4"/>
      <c r="AV125" s="4"/>
      <c r="AW125" s="4"/>
      <c r="AX125" s="4"/>
      <c r="AY125" s="4"/>
      <c r="AZ125" s="4"/>
      <c r="BA125" s="4"/>
      <c r="BB125" s="4"/>
      <c r="BC125" s="4"/>
      <c r="BD125" s="4"/>
      <c r="BE125" s="4"/>
      <c r="BF125" s="4"/>
      <c r="BG125" s="4"/>
      <c r="BH125" s="4"/>
      <c r="BI125" s="4"/>
      <c r="BJ125" s="4"/>
      <c r="BK125" s="4"/>
      <c r="BL125" s="4"/>
      <c r="BM125" s="4"/>
      <c r="BN125" s="4"/>
      <c r="BO125" s="4"/>
      <c r="BP125" s="4"/>
      <c r="BQ125" s="4"/>
      <c r="BR125" s="4"/>
      <c r="BS125" s="4"/>
      <c r="BT125" s="4"/>
      <c r="BU125" s="4"/>
      <c r="BV125" s="4"/>
      <c r="BW125" s="4"/>
      <c r="BX125" s="4"/>
      <c r="BY125" s="4"/>
      <c r="BZ125" s="4"/>
      <c r="CA125" s="4"/>
      <c r="CB125" s="4"/>
      <c r="CC125" s="4"/>
      <c r="CD125" s="4"/>
      <c r="CE125" s="4"/>
      <c r="CF125" s="4"/>
      <c r="CG125" s="4"/>
      <c r="CH125" s="4"/>
      <c r="CI125" s="4"/>
      <c r="CJ125" s="4"/>
      <c r="CK125" s="4"/>
      <c r="CL125" s="4"/>
      <c r="CM125" s="4"/>
      <c r="CN125" s="4"/>
      <c r="CO125" s="4"/>
      <c r="CP125" s="4"/>
      <c r="CQ125" s="4"/>
      <c r="CR125" s="4"/>
      <c r="CS125" s="4"/>
      <c r="CT125" s="4"/>
      <c r="CU125" s="4"/>
      <c r="CV125" s="4"/>
      <c r="CW125" s="4"/>
      <c r="CX125" s="4"/>
      <c r="CY125" s="4"/>
      <c r="CZ125" s="4"/>
      <c r="DA125" s="4"/>
      <c r="DB125" s="4"/>
      <c r="DC125" s="4"/>
      <c r="DD125" s="4"/>
      <c r="DE125" s="4"/>
      <c r="DF125" s="4"/>
      <c r="DG125" s="4"/>
      <c r="DH125" s="4"/>
      <c r="DI125" s="4"/>
      <c r="DJ125" s="4"/>
      <c r="DK125" s="4"/>
      <c r="DL125" s="4"/>
      <c r="DM125" s="4"/>
      <c r="DN125" s="4"/>
      <c r="DO125" s="4"/>
      <c r="DP125" s="4"/>
      <c r="DQ125" s="4"/>
      <c r="DR125" s="4"/>
      <c r="DS125" s="4"/>
      <c r="DT125" s="4"/>
      <c r="DU125" s="4"/>
      <c r="DV125" s="4"/>
      <c r="DW125" s="4"/>
      <c r="DX125" s="4"/>
      <c r="DY125" s="4"/>
      <c r="DZ125" s="4"/>
      <c r="EA125" s="4"/>
      <c r="EB125" s="4"/>
      <c r="EC125" s="4"/>
      <c r="ED125" s="4"/>
    </row>
    <row r="126" spans="2:134" ht="30" customHeight="1" thickBot="1" x14ac:dyDescent="0.35">
      <c r="B126" s="77" t="s">
        <v>264</v>
      </c>
      <c r="C126" s="13" t="s">
        <v>38</v>
      </c>
      <c r="D126" s="30">
        <v>0</v>
      </c>
      <c r="E126" s="49">
        <f>F125</f>
        <v>46360</v>
      </c>
      <c r="F126" s="49">
        <f>E126</f>
        <v>46360</v>
      </c>
      <c r="G126" s="29"/>
      <c r="H126" s="29">
        <f t="shared" si="74"/>
        <v>1</v>
      </c>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c r="AP126" s="4"/>
      <c r="AQ126" s="4"/>
      <c r="AR126" s="4"/>
      <c r="AS126" s="4"/>
      <c r="AT126" s="4"/>
      <c r="AU126" s="4"/>
      <c r="AV126" s="4"/>
      <c r="AW126" s="4"/>
      <c r="AX126" s="4"/>
      <c r="AY126" s="4"/>
      <c r="AZ126" s="4"/>
      <c r="BA126" s="4"/>
      <c r="BB126" s="4"/>
      <c r="BC126" s="4"/>
      <c r="BD126" s="4"/>
      <c r="BE126" s="4"/>
      <c r="BF126" s="4"/>
      <c r="BG126" s="4"/>
      <c r="BH126" s="4"/>
      <c r="BI126" s="4"/>
      <c r="BJ126" s="4"/>
      <c r="BK126" s="4"/>
      <c r="BL126" s="4"/>
      <c r="BM126" s="4"/>
      <c r="BN126" s="4"/>
      <c r="BO126" s="4"/>
      <c r="BP126" s="4"/>
      <c r="BQ126" s="4"/>
      <c r="BR126" s="4"/>
      <c r="BS126" s="4"/>
      <c r="BT126" s="4"/>
      <c r="BU126" s="4"/>
      <c r="BV126" s="4"/>
      <c r="BW126" s="4"/>
      <c r="BX126" s="4"/>
      <c r="BY126" s="4"/>
      <c r="BZ126" s="4"/>
      <c r="CA126" s="4"/>
      <c r="CB126" s="4"/>
      <c r="CC126" s="4"/>
      <c r="CD126" s="4"/>
      <c r="CE126" s="4"/>
      <c r="CF126" s="4"/>
      <c r="CG126" s="4"/>
      <c r="CH126" s="4"/>
      <c r="CI126" s="4"/>
      <c r="CJ126" s="4"/>
      <c r="CK126" s="4"/>
      <c r="CL126" s="4"/>
      <c r="CM126" s="4"/>
      <c r="CN126" s="4"/>
      <c r="CO126" s="4"/>
      <c r="CP126" s="4"/>
      <c r="CQ126" s="4"/>
      <c r="CR126" s="4"/>
      <c r="CS126" s="4"/>
      <c r="CT126" s="4"/>
      <c r="CU126" s="4"/>
      <c r="CV126" s="4"/>
      <c r="CW126" s="4"/>
      <c r="CX126" s="4"/>
      <c r="CY126" s="4"/>
      <c r="CZ126" s="4"/>
      <c r="DA126" s="4"/>
      <c r="DB126" s="4"/>
      <c r="DC126" s="4"/>
      <c r="DD126" s="4"/>
      <c r="DE126" s="4"/>
      <c r="DF126" s="4"/>
      <c r="DG126" s="4"/>
      <c r="DH126" s="4"/>
      <c r="DI126" s="4"/>
      <c r="DJ126" s="4"/>
      <c r="DK126" s="4"/>
      <c r="DL126" s="4"/>
      <c r="DM126" s="4"/>
      <c r="DN126" s="4"/>
      <c r="DO126" s="4"/>
      <c r="DP126" s="4"/>
      <c r="DQ126" s="4"/>
      <c r="DR126" s="4"/>
      <c r="DS126" s="4"/>
      <c r="DT126" s="4"/>
      <c r="DU126" s="4"/>
      <c r="DV126" s="4"/>
      <c r="DW126" s="4"/>
      <c r="DX126" s="4"/>
      <c r="DY126" s="4"/>
      <c r="DZ126" s="4"/>
      <c r="EA126" s="4"/>
      <c r="EB126" s="4"/>
      <c r="EC126" s="4"/>
      <c r="ED126" s="4"/>
    </row>
    <row r="127" spans="2:134" ht="30" customHeight="1" thickBot="1" x14ac:dyDescent="0.35">
      <c r="B127" s="77" t="s">
        <v>265</v>
      </c>
      <c r="C127" s="13" t="s">
        <v>38</v>
      </c>
      <c r="D127" s="30">
        <v>0</v>
      </c>
      <c r="E127" s="49">
        <f>F125</f>
        <v>46360</v>
      </c>
      <c r="F127" s="49">
        <f>E127</f>
        <v>46360</v>
      </c>
      <c r="G127" s="29"/>
      <c r="H127" s="29">
        <f t="shared" si="74"/>
        <v>1</v>
      </c>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c r="AP127" s="4"/>
      <c r="AQ127" s="4"/>
      <c r="AR127" s="4"/>
      <c r="AS127" s="4"/>
      <c r="AT127" s="4"/>
      <c r="AU127" s="4"/>
      <c r="AV127" s="4"/>
      <c r="AW127" s="4"/>
      <c r="AX127" s="4"/>
      <c r="AY127" s="4"/>
      <c r="AZ127" s="4"/>
      <c r="BA127" s="4"/>
      <c r="BB127" s="4"/>
      <c r="BC127" s="4"/>
      <c r="BD127" s="4"/>
      <c r="BE127" s="4"/>
      <c r="BF127" s="4"/>
      <c r="BG127" s="4"/>
      <c r="BH127" s="4"/>
      <c r="BI127" s="4"/>
      <c r="BJ127" s="4"/>
      <c r="BK127" s="4"/>
      <c r="BL127" s="4"/>
      <c r="BM127" s="4"/>
      <c r="BN127" s="4"/>
      <c r="BO127" s="4"/>
      <c r="BP127" s="4"/>
      <c r="BQ127" s="4"/>
      <c r="BR127" s="4"/>
      <c r="BS127" s="4"/>
      <c r="BT127" s="4"/>
      <c r="BU127" s="4"/>
      <c r="BV127" s="4"/>
      <c r="BW127" s="4"/>
      <c r="BX127" s="4"/>
      <c r="BY127" s="4"/>
      <c r="BZ127" s="4"/>
      <c r="CA127" s="4"/>
      <c r="CB127" s="4"/>
      <c r="CC127" s="4"/>
      <c r="CD127" s="4"/>
      <c r="CE127" s="4"/>
      <c r="CF127" s="4"/>
      <c r="CG127" s="4"/>
      <c r="CH127" s="4"/>
      <c r="CI127" s="4"/>
      <c r="CJ127" s="4"/>
      <c r="CK127" s="4"/>
      <c r="CL127" s="4"/>
      <c r="CM127" s="4"/>
      <c r="CN127" s="4"/>
      <c r="CO127" s="4"/>
      <c r="CP127" s="4"/>
      <c r="CQ127" s="4"/>
      <c r="CR127" s="4"/>
      <c r="CS127" s="4"/>
      <c r="CT127" s="4"/>
      <c r="CU127" s="4"/>
      <c r="CV127" s="4"/>
      <c r="CW127" s="4"/>
      <c r="CX127" s="4"/>
      <c r="CY127" s="4"/>
      <c r="CZ127" s="4"/>
      <c r="DA127" s="4"/>
      <c r="DB127" s="4"/>
      <c r="DC127" s="4"/>
      <c r="DD127" s="4"/>
      <c r="DE127" s="4"/>
      <c r="DF127" s="4"/>
      <c r="DG127" s="4"/>
      <c r="DH127" s="4"/>
      <c r="DI127" s="4"/>
      <c r="DJ127" s="4"/>
      <c r="DK127" s="4"/>
      <c r="DL127" s="4"/>
      <c r="DM127" s="4"/>
      <c r="DN127" s="4"/>
      <c r="DO127" s="4"/>
      <c r="DP127" s="4"/>
      <c r="DQ127" s="4"/>
      <c r="DR127" s="4"/>
      <c r="DS127" s="4"/>
      <c r="DT127" s="4"/>
      <c r="DU127" s="4"/>
      <c r="DV127" s="4"/>
      <c r="DW127" s="4"/>
      <c r="DX127" s="4"/>
      <c r="DY127" s="4"/>
      <c r="DZ127" s="4"/>
      <c r="EA127" s="4"/>
      <c r="EB127" s="4"/>
      <c r="EC127" s="4"/>
      <c r="ED127" s="4"/>
    </row>
    <row r="128" spans="2:134" ht="30" customHeight="1" thickBot="1" x14ac:dyDescent="0.35">
      <c r="B128" s="77" t="s">
        <v>266</v>
      </c>
      <c r="C128" s="13" t="s">
        <v>38</v>
      </c>
      <c r="D128" s="30">
        <v>0</v>
      </c>
      <c r="E128" s="49">
        <f>F127+3</f>
        <v>46363</v>
      </c>
      <c r="F128" s="49">
        <f>E128</f>
        <v>46363</v>
      </c>
      <c r="G128" s="29"/>
      <c r="H128" s="29">
        <f t="shared" si="74"/>
        <v>1</v>
      </c>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c r="AP128" s="4"/>
      <c r="AQ128" s="4"/>
      <c r="AR128" s="4"/>
      <c r="AS128" s="4"/>
      <c r="AT128" s="4"/>
      <c r="AU128" s="4"/>
      <c r="AV128" s="4"/>
      <c r="AW128" s="4"/>
      <c r="AX128" s="4"/>
      <c r="AY128" s="4"/>
      <c r="AZ128" s="4"/>
      <c r="BA128" s="4"/>
      <c r="BB128" s="4"/>
      <c r="BC128" s="4"/>
      <c r="BD128" s="4"/>
      <c r="BE128" s="4"/>
      <c r="BF128" s="4"/>
      <c r="BG128" s="4"/>
      <c r="BH128" s="4"/>
      <c r="BI128" s="4"/>
      <c r="BJ128" s="4"/>
      <c r="BK128" s="4"/>
      <c r="BL128" s="4"/>
      <c r="BM128" s="4"/>
      <c r="BN128" s="4"/>
      <c r="BO128" s="4"/>
      <c r="BP128" s="4"/>
      <c r="BQ128" s="4"/>
      <c r="BR128" s="4"/>
      <c r="BS128" s="4"/>
      <c r="BT128" s="4"/>
      <c r="BU128" s="4"/>
      <c r="BV128" s="4"/>
      <c r="BW128" s="4"/>
      <c r="BX128" s="4"/>
      <c r="BY128" s="4"/>
      <c r="BZ128" s="4"/>
      <c r="CA128" s="4"/>
      <c r="CB128" s="4"/>
      <c r="CC128" s="4"/>
      <c r="CD128" s="4"/>
      <c r="CE128" s="4"/>
      <c r="CF128" s="4"/>
      <c r="CG128" s="4"/>
      <c r="CH128" s="4"/>
      <c r="CI128" s="4"/>
      <c r="CJ128" s="4"/>
      <c r="CK128" s="4"/>
      <c r="CL128" s="4"/>
      <c r="CM128" s="4"/>
      <c r="CN128" s="4"/>
      <c r="CO128" s="4"/>
      <c r="CP128" s="4"/>
      <c r="CQ128" s="4"/>
      <c r="CR128" s="4"/>
      <c r="CS128" s="4"/>
      <c r="CT128" s="4"/>
      <c r="CU128" s="4"/>
      <c r="CV128" s="4"/>
      <c r="CW128" s="4"/>
      <c r="CX128" s="4"/>
      <c r="CY128" s="4"/>
      <c r="CZ128" s="4"/>
      <c r="DA128" s="4"/>
      <c r="DB128" s="4"/>
      <c r="DC128" s="4"/>
      <c r="DD128" s="4"/>
      <c r="DE128" s="4"/>
      <c r="DF128" s="4"/>
      <c r="DG128" s="4"/>
      <c r="DH128" s="4"/>
      <c r="DI128" s="4"/>
      <c r="DJ128" s="4"/>
      <c r="DK128" s="4"/>
      <c r="DL128" s="4"/>
      <c r="DM128" s="4"/>
      <c r="DN128" s="4"/>
      <c r="DO128" s="4"/>
      <c r="DP128" s="4"/>
      <c r="DQ128" s="4"/>
      <c r="DR128" s="4"/>
      <c r="DS128" s="4"/>
      <c r="DT128" s="4"/>
      <c r="DU128" s="4"/>
      <c r="DV128" s="4"/>
      <c r="DW128" s="4"/>
      <c r="DX128" s="4"/>
      <c r="DY128" s="4"/>
      <c r="DZ128" s="4"/>
      <c r="EA128" s="4"/>
      <c r="EB128" s="4"/>
      <c r="EC128" s="4"/>
      <c r="ED128" s="4"/>
    </row>
    <row r="129" spans="2:134" ht="30" customHeight="1" thickBot="1" x14ac:dyDescent="0.35">
      <c r="B129" s="77" t="s">
        <v>256</v>
      </c>
      <c r="C129" s="13" t="s">
        <v>38</v>
      </c>
      <c r="D129" s="30">
        <v>0</v>
      </c>
      <c r="E129" s="49">
        <f>F128</f>
        <v>46363</v>
      </c>
      <c r="F129" s="49">
        <f>E129+1</f>
        <v>46364</v>
      </c>
      <c r="G129" s="29"/>
      <c r="H129" s="29">
        <f t="shared" si="74"/>
        <v>2</v>
      </c>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c r="AP129" s="4"/>
      <c r="AQ129" s="4"/>
      <c r="AR129" s="4"/>
      <c r="AS129" s="4"/>
      <c r="AT129" s="4"/>
      <c r="AU129" s="4"/>
      <c r="AV129" s="4"/>
      <c r="AW129" s="4"/>
      <c r="AX129" s="4"/>
      <c r="AY129" s="4"/>
      <c r="AZ129" s="4"/>
      <c r="BA129" s="4"/>
      <c r="BB129" s="4"/>
      <c r="BC129" s="4"/>
      <c r="BD129" s="4"/>
      <c r="BE129" s="4"/>
      <c r="BF129" s="4"/>
      <c r="BG129" s="4"/>
      <c r="BH129" s="4"/>
      <c r="BI129" s="4"/>
      <c r="BJ129" s="4"/>
      <c r="BK129" s="4"/>
      <c r="BL129" s="4"/>
      <c r="BM129" s="4"/>
      <c r="BN129" s="4"/>
      <c r="BO129" s="4"/>
      <c r="BP129" s="4"/>
      <c r="BQ129" s="4"/>
      <c r="BR129" s="4"/>
      <c r="BS129" s="4"/>
      <c r="BT129" s="4"/>
      <c r="BU129" s="4"/>
      <c r="BV129" s="4"/>
      <c r="BW129" s="4"/>
      <c r="BX129" s="4"/>
      <c r="BY129" s="4"/>
      <c r="BZ129" s="4"/>
      <c r="CA129" s="4"/>
      <c r="CB129" s="4"/>
      <c r="CC129" s="4"/>
      <c r="CD129" s="4"/>
      <c r="CE129" s="4"/>
      <c r="CF129" s="4"/>
      <c r="CG129" s="4"/>
      <c r="CH129" s="4"/>
      <c r="CI129" s="4"/>
      <c r="CJ129" s="4"/>
      <c r="CK129" s="4"/>
      <c r="CL129" s="4"/>
      <c r="CM129" s="4"/>
      <c r="CN129" s="4"/>
      <c r="CO129" s="4"/>
      <c r="CP129" s="4"/>
      <c r="CQ129" s="4"/>
      <c r="CR129" s="4"/>
      <c r="CS129" s="4"/>
      <c r="CT129" s="4"/>
      <c r="CU129" s="4"/>
      <c r="CV129" s="4"/>
      <c r="CW129" s="4"/>
      <c r="CX129" s="4"/>
      <c r="CY129" s="4"/>
      <c r="CZ129" s="4"/>
      <c r="DA129" s="4"/>
      <c r="DB129" s="4"/>
      <c r="DC129" s="4"/>
      <c r="DD129" s="4"/>
      <c r="DE129" s="4"/>
      <c r="DF129" s="4"/>
      <c r="DG129" s="4"/>
      <c r="DH129" s="4"/>
      <c r="DI129" s="4"/>
      <c r="DJ129" s="4"/>
      <c r="DK129" s="4"/>
      <c r="DL129" s="4"/>
      <c r="DM129" s="4"/>
      <c r="DN129" s="4"/>
      <c r="DO129" s="4"/>
      <c r="DP129" s="4"/>
      <c r="DQ129" s="4"/>
      <c r="DR129" s="4"/>
      <c r="DS129" s="4"/>
      <c r="DT129" s="4"/>
      <c r="DU129" s="4"/>
      <c r="DV129" s="4"/>
      <c r="DW129" s="4"/>
      <c r="DX129" s="4"/>
      <c r="DY129" s="4"/>
      <c r="DZ129" s="4"/>
      <c r="EA129" s="4"/>
      <c r="EB129" s="4"/>
      <c r="EC129" s="4"/>
      <c r="ED129" s="4"/>
    </row>
    <row r="130" spans="2:134" ht="30" customHeight="1" thickBot="1" x14ac:dyDescent="0.35">
      <c r="B130" s="77" t="s">
        <v>259</v>
      </c>
      <c r="C130" s="13" t="s">
        <v>38</v>
      </c>
      <c r="D130" s="30">
        <v>0</v>
      </c>
      <c r="E130" s="49">
        <f>F129</f>
        <v>46364</v>
      </c>
      <c r="F130" s="49">
        <f>E130+1</f>
        <v>46365</v>
      </c>
      <c r="G130" s="29"/>
      <c r="H130" s="29">
        <f t="shared" si="74"/>
        <v>2</v>
      </c>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c r="AP130" s="4"/>
      <c r="AQ130" s="4"/>
      <c r="AR130" s="4"/>
      <c r="AS130" s="4"/>
      <c r="AT130" s="4"/>
      <c r="AU130" s="4"/>
      <c r="AV130" s="4"/>
      <c r="AW130" s="4"/>
      <c r="AX130" s="4"/>
      <c r="AY130" s="4"/>
      <c r="AZ130" s="4"/>
      <c r="BA130" s="4"/>
      <c r="BB130" s="4"/>
      <c r="BC130" s="4"/>
      <c r="BD130" s="4"/>
      <c r="BE130" s="4"/>
      <c r="BF130" s="4"/>
      <c r="BG130" s="4"/>
      <c r="BH130" s="4"/>
      <c r="BI130" s="4"/>
      <c r="BJ130" s="4"/>
      <c r="BK130" s="4"/>
      <c r="BL130" s="4"/>
      <c r="BM130" s="4"/>
      <c r="BN130" s="4"/>
      <c r="BO130" s="4"/>
      <c r="BP130" s="4"/>
      <c r="BQ130" s="4"/>
      <c r="BR130" s="4"/>
      <c r="BS130" s="4"/>
      <c r="BT130" s="4"/>
      <c r="BU130" s="4"/>
      <c r="BV130" s="4"/>
      <c r="BW130" s="4"/>
      <c r="BX130" s="4"/>
      <c r="BY130" s="4"/>
      <c r="BZ130" s="4"/>
      <c r="CA130" s="4"/>
      <c r="CB130" s="4"/>
      <c r="CC130" s="4"/>
      <c r="CD130" s="4"/>
      <c r="CE130" s="4"/>
      <c r="CF130" s="4"/>
      <c r="CG130" s="4"/>
      <c r="CH130" s="4"/>
      <c r="CI130" s="4"/>
      <c r="CJ130" s="4"/>
      <c r="CK130" s="4"/>
      <c r="CL130" s="4"/>
      <c r="CM130" s="4"/>
      <c r="CN130" s="4"/>
      <c r="CO130" s="4"/>
      <c r="CP130" s="4"/>
      <c r="CQ130" s="4"/>
      <c r="CR130" s="4"/>
      <c r="CS130" s="4"/>
      <c r="CT130" s="4"/>
      <c r="CU130" s="4"/>
      <c r="CV130" s="4"/>
      <c r="CW130" s="4"/>
      <c r="CX130" s="4"/>
      <c r="CY130" s="4"/>
      <c r="CZ130" s="4"/>
      <c r="DA130" s="4"/>
      <c r="DB130" s="4"/>
      <c r="DC130" s="4"/>
      <c r="DD130" s="4"/>
      <c r="DE130" s="4"/>
      <c r="DF130" s="4"/>
      <c r="DG130" s="4"/>
      <c r="DH130" s="4"/>
      <c r="DI130" s="4"/>
      <c r="DJ130" s="4"/>
      <c r="DK130" s="4"/>
      <c r="DL130" s="4"/>
      <c r="DM130" s="4"/>
      <c r="DN130" s="4"/>
      <c r="DO130" s="4"/>
      <c r="DP130" s="4"/>
      <c r="DQ130" s="4"/>
      <c r="DR130" s="4"/>
      <c r="DS130" s="4"/>
      <c r="DT130" s="4"/>
      <c r="DU130" s="4"/>
      <c r="DV130" s="4"/>
      <c r="DW130" s="4"/>
      <c r="DX130" s="4"/>
      <c r="DY130" s="4"/>
      <c r="DZ130" s="4"/>
      <c r="EA130" s="4"/>
      <c r="EB130" s="4"/>
      <c r="EC130" s="4"/>
      <c r="ED130" s="4"/>
    </row>
    <row r="131" spans="2:134" ht="30" customHeight="1" thickBot="1" x14ac:dyDescent="0.35">
      <c r="B131" s="77" t="s">
        <v>260</v>
      </c>
      <c r="C131" s="13" t="s">
        <v>38</v>
      </c>
      <c r="D131" s="30">
        <v>0</v>
      </c>
      <c r="E131" s="49">
        <f>F130</f>
        <v>46365</v>
      </c>
      <c r="F131" s="49">
        <f>E131+1</f>
        <v>46366</v>
      </c>
      <c r="G131" s="29"/>
      <c r="H131" s="29">
        <f t="shared" si="74"/>
        <v>2</v>
      </c>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c r="AP131" s="4"/>
      <c r="AQ131" s="4"/>
      <c r="AR131" s="4"/>
      <c r="AS131" s="4"/>
      <c r="AT131" s="4"/>
      <c r="AU131" s="4"/>
      <c r="AV131" s="4"/>
      <c r="AW131" s="4"/>
      <c r="AX131" s="4"/>
      <c r="AY131" s="4"/>
      <c r="AZ131" s="4"/>
      <c r="BA131" s="4"/>
      <c r="BB131" s="4"/>
      <c r="BC131" s="4"/>
      <c r="BD131" s="4"/>
      <c r="BE131" s="4"/>
      <c r="BF131" s="4"/>
      <c r="BG131" s="4"/>
      <c r="BH131" s="4"/>
      <c r="BI131" s="4"/>
      <c r="BJ131" s="4"/>
      <c r="BK131" s="4"/>
      <c r="BL131" s="4"/>
      <c r="BM131" s="4"/>
      <c r="BN131" s="4"/>
      <c r="BO131" s="4"/>
      <c r="BP131" s="4"/>
      <c r="BQ131" s="4"/>
      <c r="BR131" s="4"/>
      <c r="BS131" s="4"/>
      <c r="BT131" s="4"/>
      <c r="BU131" s="4"/>
      <c r="BV131" s="4"/>
      <c r="BW131" s="4"/>
      <c r="BX131" s="4"/>
      <c r="BY131" s="4"/>
      <c r="BZ131" s="4"/>
      <c r="CA131" s="4"/>
      <c r="CB131" s="4"/>
      <c r="CC131" s="4"/>
      <c r="CD131" s="4"/>
      <c r="CE131" s="4"/>
      <c r="CF131" s="4"/>
      <c r="CG131" s="4"/>
      <c r="CH131" s="4"/>
      <c r="CI131" s="4"/>
      <c r="CJ131" s="4"/>
      <c r="CK131" s="4"/>
      <c r="CL131" s="4"/>
      <c r="CM131" s="4"/>
      <c r="CN131" s="4"/>
      <c r="CO131" s="4"/>
      <c r="CP131" s="4"/>
      <c r="CQ131" s="4"/>
      <c r="CR131" s="4"/>
      <c r="CS131" s="4"/>
      <c r="CT131" s="4"/>
      <c r="CU131" s="4"/>
      <c r="CV131" s="4"/>
      <c r="CW131" s="4"/>
      <c r="CX131" s="4"/>
      <c r="CY131" s="4"/>
      <c r="CZ131" s="4"/>
      <c r="DA131" s="4"/>
      <c r="DB131" s="4"/>
      <c r="DC131" s="4"/>
      <c r="DD131" s="4"/>
      <c r="DE131" s="4"/>
      <c r="DF131" s="4"/>
      <c r="DG131" s="4"/>
      <c r="DH131" s="4"/>
      <c r="DI131" s="4"/>
      <c r="DJ131" s="4"/>
      <c r="DK131" s="4"/>
      <c r="DL131" s="4"/>
      <c r="DM131" s="4"/>
      <c r="DN131" s="4"/>
      <c r="DO131" s="4"/>
      <c r="DP131" s="4"/>
      <c r="DQ131" s="4"/>
      <c r="DR131" s="4"/>
      <c r="DS131" s="4"/>
      <c r="DT131" s="4"/>
      <c r="DU131" s="4"/>
      <c r="DV131" s="4"/>
      <c r="DW131" s="4"/>
      <c r="DX131" s="4"/>
      <c r="DY131" s="4"/>
      <c r="DZ131" s="4"/>
      <c r="EA131" s="4"/>
      <c r="EB131" s="4"/>
      <c r="EC131" s="4"/>
      <c r="ED131" s="4"/>
    </row>
    <row r="132" spans="2:134" ht="30" customHeight="1" thickBot="1" x14ac:dyDescent="0.35">
      <c r="B132" s="77" t="s">
        <v>257</v>
      </c>
      <c r="C132" s="13" t="s">
        <v>38</v>
      </c>
      <c r="D132" s="30">
        <v>0</v>
      </c>
      <c r="E132" s="49">
        <f>F131</f>
        <v>46366</v>
      </c>
      <c r="F132" s="49">
        <f>E132+1</f>
        <v>46367</v>
      </c>
      <c r="G132" s="29"/>
      <c r="H132" s="29">
        <f t="shared" si="74"/>
        <v>2</v>
      </c>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c r="AP132" s="4"/>
      <c r="AQ132" s="4"/>
      <c r="AR132" s="4"/>
      <c r="AS132" s="4"/>
      <c r="AT132" s="4"/>
      <c r="AU132" s="4"/>
      <c r="AV132" s="4"/>
      <c r="AW132" s="4"/>
      <c r="AX132" s="4"/>
      <c r="AY132" s="4"/>
      <c r="AZ132" s="4"/>
      <c r="BA132" s="4"/>
      <c r="BB132" s="4"/>
      <c r="BC132" s="4"/>
      <c r="BD132" s="4"/>
      <c r="BE132" s="4"/>
      <c r="BF132" s="4"/>
      <c r="BG132" s="4"/>
      <c r="BH132" s="4"/>
      <c r="BI132" s="4"/>
      <c r="BJ132" s="4"/>
      <c r="BK132" s="4"/>
      <c r="BL132" s="4"/>
      <c r="BM132" s="4"/>
      <c r="BN132" s="4"/>
      <c r="BO132" s="4"/>
      <c r="BP132" s="4"/>
      <c r="BQ132" s="4"/>
      <c r="BR132" s="4"/>
      <c r="BS132" s="4"/>
      <c r="BT132" s="4"/>
      <c r="BU132" s="4"/>
      <c r="BV132" s="4"/>
      <c r="BW132" s="4"/>
      <c r="BX132" s="4"/>
      <c r="BY132" s="4"/>
      <c r="BZ132" s="4"/>
      <c r="CA132" s="4"/>
      <c r="CB132" s="4"/>
      <c r="CC132" s="4"/>
      <c r="CD132" s="4"/>
      <c r="CE132" s="4"/>
      <c r="CF132" s="4"/>
      <c r="CG132" s="4"/>
      <c r="CH132" s="4"/>
      <c r="CI132" s="4"/>
      <c r="CJ132" s="4"/>
      <c r="CK132" s="4"/>
      <c r="CL132" s="4"/>
      <c r="CM132" s="4"/>
      <c r="CN132" s="4"/>
      <c r="CO132" s="4"/>
      <c r="CP132" s="4"/>
      <c r="CQ132" s="4"/>
      <c r="CR132" s="4"/>
      <c r="CS132" s="4"/>
      <c r="CT132" s="4"/>
      <c r="CU132" s="4"/>
      <c r="CV132" s="4"/>
      <c r="CW132" s="4"/>
      <c r="CX132" s="4"/>
      <c r="CY132" s="4"/>
      <c r="CZ132" s="4"/>
      <c r="DA132" s="4"/>
      <c r="DB132" s="4"/>
      <c r="DC132" s="4"/>
      <c r="DD132" s="4"/>
      <c r="DE132" s="4"/>
      <c r="DF132" s="4"/>
      <c r="DG132" s="4"/>
      <c r="DH132" s="4"/>
      <c r="DI132" s="4"/>
      <c r="DJ132" s="4"/>
      <c r="DK132" s="4"/>
      <c r="DL132" s="4"/>
      <c r="DM132" s="4"/>
      <c r="DN132" s="4"/>
      <c r="DO132" s="4"/>
      <c r="DP132" s="4"/>
      <c r="DQ132" s="4"/>
      <c r="DR132" s="4"/>
      <c r="DS132" s="4"/>
      <c r="DT132" s="4"/>
      <c r="DU132" s="4"/>
      <c r="DV132" s="4"/>
      <c r="DW132" s="4"/>
      <c r="DX132" s="4"/>
      <c r="DY132" s="4"/>
      <c r="DZ132" s="4"/>
      <c r="EA132" s="4"/>
      <c r="EB132" s="4"/>
      <c r="EC132" s="4"/>
      <c r="ED132" s="4"/>
    </row>
    <row r="133" spans="2:134" ht="30" customHeight="1" thickBot="1" x14ac:dyDescent="0.35">
      <c r="B133" s="77" t="s">
        <v>261</v>
      </c>
      <c r="C133" s="13" t="s">
        <v>38</v>
      </c>
      <c r="D133" s="30">
        <v>0</v>
      </c>
      <c r="E133" s="49">
        <f>F131</f>
        <v>46366</v>
      </c>
      <c r="F133" s="49">
        <f>E133+1</f>
        <v>46367</v>
      </c>
      <c r="G133" s="29"/>
      <c r="H133" s="29">
        <f t="shared" si="74"/>
        <v>2</v>
      </c>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c r="AP133" s="4"/>
      <c r="AQ133" s="4"/>
      <c r="AR133" s="4"/>
      <c r="AS133" s="4"/>
      <c r="AT133" s="4"/>
      <c r="AU133" s="4"/>
      <c r="AV133" s="4"/>
      <c r="AW133" s="4"/>
      <c r="AX133" s="4"/>
      <c r="AY133" s="4"/>
      <c r="AZ133" s="4"/>
      <c r="BA133" s="4"/>
      <c r="BB133" s="4"/>
      <c r="BC133" s="4"/>
      <c r="BD133" s="4"/>
      <c r="BE133" s="4"/>
      <c r="BF133" s="4"/>
      <c r="BG133" s="4"/>
      <c r="BH133" s="4"/>
      <c r="BI133" s="4"/>
      <c r="BJ133" s="4"/>
      <c r="BK133" s="4"/>
      <c r="BL133" s="4"/>
      <c r="BM133" s="4"/>
      <c r="BN133" s="4"/>
      <c r="BO133" s="4"/>
      <c r="BP133" s="4"/>
      <c r="BQ133" s="4"/>
      <c r="BR133" s="4"/>
      <c r="BS133" s="4"/>
      <c r="BT133" s="4"/>
      <c r="BU133" s="4"/>
      <c r="BV133" s="4"/>
      <c r="BW133" s="4"/>
      <c r="BX133" s="4"/>
      <c r="BY133" s="4"/>
      <c r="BZ133" s="4"/>
      <c r="CA133" s="4"/>
      <c r="CB133" s="4"/>
      <c r="CC133" s="4"/>
      <c r="CD133" s="4"/>
      <c r="CE133" s="4"/>
      <c r="CF133" s="4"/>
      <c r="CG133" s="4"/>
      <c r="CH133" s="4"/>
      <c r="CI133" s="4"/>
      <c r="CJ133" s="4"/>
      <c r="CK133" s="4"/>
      <c r="CL133" s="4"/>
      <c r="CM133" s="4"/>
      <c r="CN133" s="4"/>
      <c r="CO133" s="4"/>
      <c r="CP133" s="4"/>
      <c r="CQ133" s="4"/>
      <c r="CR133" s="4"/>
      <c r="CS133" s="4"/>
      <c r="CT133" s="4"/>
      <c r="CU133" s="4"/>
      <c r="CV133" s="4"/>
      <c r="CW133" s="4"/>
      <c r="CX133" s="4"/>
      <c r="CY133" s="4"/>
      <c r="CZ133" s="4"/>
      <c r="DA133" s="4"/>
      <c r="DB133" s="4"/>
      <c r="DC133" s="4"/>
      <c r="DD133" s="4"/>
      <c r="DE133" s="4"/>
      <c r="DF133" s="4"/>
      <c r="DG133" s="4"/>
      <c r="DH133" s="4"/>
      <c r="DI133" s="4"/>
      <c r="DJ133" s="4"/>
      <c r="DK133" s="4"/>
      <c r="DL133" s="4"/>
      <c r="DM133" s="4"/>
      <c r="DN133" s="4"/>
      <c r="DO133" s="4"/>
      <c r="DP133" s="4"/>
      <c r="DQ133" s="4"/>
      <c r="DR133" s="4"/>
      <c r="DS133" s="4"/>
      <c r="DT133" s="4"/>
      <c r="DU133" s="4"/>
      <c r="DV133" s="4"/>
      <c r="DW133" s="4"/>
      <c r="DX133" s="4"/>
      <c r="DY133" s="4"/>
      <c r="DZ133" s="4"/>
      <c r="EA133" s="4"/>
      <c r="EB133" s="4"/>
      <c r="EC133" s="4"/>
      <c r="ED133" s="4"/>
    </row>
    <row r="134" spans="2:134" ht="30" customHeight="1" thickBot="1" x14ac:dyDescent="0.35">
      <c r="B134" s="77" t="s">
        <v>262</v>
      </c>
      <c r="C134" s="13" t="s">
        <v>38</v>
      </c>
      <c r="D134" s="30">
        <v>0</v>
      </c>
      <c r="E134" s="49">
        <f>F132</f>
        <v>46367</v>
      </c>
      <c r="F134" s="49">
        <f>E134</f>
        <v>46367</v>
      </c>
      <c r="G134" s="29"/>
      <c r="H134" s="29">
        <f t="shared" si="74"/>
        <v>1</v>
      </c>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c r="AP134" s="4"/>
      <c r="AQ134" s="4"/>
      <c r="AR134" s="4"/>
      <c r="AS134" s="4"/>
      <c r="AT134" s="4"/>
      <c r="AU134" s="4"/>
      <c r="AV134" s="4"/>
      <c r="AW134" s="4"/>
      <c r="AX134" s="4"/>
      <c r="AY134" s="4"/>
      <c r="AZ134" s="4"/>
      <c r="BA134" s="4"/>
      <c r="BB134" s="4"/>
      <c r="BC134" s="4"/>
      <c r="BD134" s="4"/>
      <c r="BE134" s="4"/>
      <c r="BF134" s="4"/>
      <c r="BG134" s="4"/>
      <c r="BH134" s="4"/>
      <c r="BI134" s="4"/>
      <c r="BJ134" s="4"/>
      <c r="BK134" s="4"/>
      <c r="BL134" s="4"/>
      <c r="BM134" s="4"/>
      <c r="BN134" s="4"/>
      <c r="BO134" s="4"/>
      <c r="BP134" s="4"/>
      <c r="BQ134" s="4"/>
      <c r="BR134" s="4"/>
      <c r="BS134" s="4"/>
      <c r="BT134" s="4"/>
      <c r="BU134" s="4"/>
      <c r="BV134" s="4"/>
      <c r="BW134" s="4"/>
      <c r="BX134" s="4"/>
      <c r="BY134" s="4"/>
      <c r="BZ134" s="4"/>
      <c r="CA134" s="4"/>
      <c r="CB134" s="4"/>
      <c r="CC134" s="4"/>
      <c r="CD134" s="4"/>
      <c r="CE134" s="4"/>
      <c r="CF134" s="4"/>
      <c r="CG134" s="4"/>
      <c r="CH134" s="4"/>
      <c r="CI134" s="4"/>
      <c r="CJ134" s="4"/>
      <c r="CK134" s="4"/>
      <c r="CL134" s="4"/>
      <c r="CM134" s="4"/>
      <c r="CN134" s="4"/>
      <c r="CO134" s="4"/>
      <c r="CP134" s="4"/>
      <c r="CQ134" s="4"/>
      <c r="CR134" s="4"/>
      <c r="CS134" s="4"/>
      <c r="CT134" s="4"/>
      <c r="CU134" s="4"/>
      <c r="CV134" s="4"/>
      <c r="CW134" s="4"/>
      <c r="CX134" s="4"/>
      <c r="CY134" s="4"/>
      <c r="CZ134" s="4"/>
      <c r="DA134" s="4"/>
      <c r="DB134" s="4"/>
      <c r="DC134" s="4"/>
      <c r="DD134" s="4"/>
      <c r="DE134" s="4"/>
      <c r="DF134" s="4"/>
      <c r="DG134" s="4"/>
      <c r="DH134" s="4"/>
      <c r="DI134" s="4"/>
      <c r="DJ134" s="4"/>
      <c r="DK134" s="4"/>
      <c r="DL134" s="4"/>
      <c r="DM134" s="4"/>
      <c r="DN134" s="4"/>
      <c r="DO134" s="4"/>
      <c r="DP134" s="4"/>
      <c r="DQ134" s="4"/>
      <c r="DR134" s="4"/>
      <c r="DS134" s="4"/>
      <c r="DT134" s="4"/>
      <c r="DU134" s="4"/>
      <c r="DV134" s="4"/>
      <c r="DW134" s="4"/>
      <c r="DX134" s="4"/>
      <c r="DY134" s="4"/>
      <c r="DZ134" s="4"/>
      <c r="EA134" s="4"/>
      <c r="EB134" s="4"/>
      <c r="EC134" s="4"/>
      <c r="ED134" s="4"/>
    </row>
    <row r="135" spans="2:134" ht="30" customHeight="1" thickBot="1" x14ac:dyDescent="0.35">
      <c r="B135" s="77" t="s">
        <v>263</v>
      </c>
      <c r="C135" s="13" t="s">
        <v>38</v>
      </c>
      <c r="D135" s="30">
        <v>0</v>
      </c>
      <c r="E135" s="49">
        <f>F133</f>
        <v>46367</v>
      </c>
      <c r="F135" s="49">
        <f>E135</f>
        <v>46367</v>
      </c>
      <c r="G135" s="29"/>
      <c r="H135" s="29">
        <f t="shared" si="74"/>
        <v>1</v>
      </c>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c r="AP135" s="4"/>
      <c r="AQ135" s="4"/>
      <c r="AR135" s="4"/>
      <c r="AS135" s="4"/>
      <c r="AT135" s="4"/>
      <c r="AU135" s="4"/>
      <c r="AV135" s="4"/>
      <c r="AW135" s="4"/>
      <c r="AX135" s="4"/>
      <c r="AY135" s="4"/>
      <c r="AZ135" s="4"/>
      <c r="BA135" s="4"/>
      <c r="BB135" s="4"/>
      <c r="BC135" s="4"/>
      <c r="BD135" s="4"/>
      <c r="BE135" s="4"/>
      <c r="BF135" s="4"/>
      <c r="BG135" s="4"/>
      <c r="BH135" s="4"/>
      <c r="BI135" s="4"/>
      <c r="BJ135" s="4"/>
      <c r="BK135" s="4"/>
      <c r="BL135" s="4"/>
      <c r="BM135" s="4"/>
      <c r="BN135" s="4"/>
      <c r="BO135" s="4"/>
      <c r="BP135" s="4"/>
      <c r="BQ135" s="4"/>
      <c r="BR135" s="4"/>
      <c r="BS135" s="4"/>
      <c r="BT135" s="4"/>
      <c r="BU135" s="4"/>
      <c r="BV135" s="4"/>
      <c r="BW135" s="4"/>
      <c r="BX135" s="4"/>
      <c r="BY135" s="4"/>
      <c r="BZ135" s="4"/>
      <c r="CA135" s="4"/>
      <c r="CB135" s="4"/>
      <c r="CC135" s="4"/>
      <c r="CD135" s="4"/>
      <c r="CE135" s="4"/>
      <c r="CF135" s="4"/>
      <c r="CG135" s="4"/>
      <c r="CH135" s="4"/>
      <c r="CI135" s="4"/>
      <c r="CJ135" s="4"/>
      <c r="CK135" s="4"/>
      <c r="CL135" s="4"/>
      <c r="CM135" s="4"/>
      <c r="CN135" s="4"/>
      <c r="CO135" s="4"/>
      <c r="CP135" s="4"/>
      <c r="CQ135" s="4"/>
      <c r="CR135" s="4"/>
      <c r="CS135" s="4"/>
      <c r="CT135" s="4"/>
      <c r="CU135" s="4"/>
      <c r="CV135" s="4"/>
      <c r="CW135" s="4"/>
      <c r="CX135" s="4"/>
      <c r="CY135" s="4"/>
      <c r="CZ135" s="4"/>
      <c r="DA135" s="4"/>
      <c r="DB135" s="4"/>
      <c r="DC135" s="4"/>
      <c r="DD135" s="4"/>
      <c r="DE135" s="4"/>
      <c r="DF135" s="4"/>
      <c r="DG135" s="4"/>
      <c r="DH135" s="4"/>
      <c r="DI135" s="4"/>
      <c r="DJ135" s="4"/>
      <c r="DK135" s="4"/>
      <c r="DL135" s="4"/>
      <c r="DM135" s="4"/>
      <c r="DN135" s="4"/>
      <c r="DO135" s="4"/>
      <c r="DP135" s="4"/>
      <c r="DQ135" s="4"/>
      <c r="DR135" s="4"/>
      <c r="DS135" s="4"/>
      <c r="DT135" s="4"/>
      <c r="DU135" s="4"/>
      <c r="DV135" s="4"/>
      <c r="DW135" s="4"/>
      <c r="DX135" s="4"/>
      <c r="DY135" s="4"/>
      <c r="DZ135" s="4"/>
      <c r="EA135" s="4"/>
      <c r="EB135" s="4"/>
      <c r="EC135" s="4"/>
      <c r="ED135" s="4"/>
    </row>
    <row r="136" spans="2:134" ht="30" customHeight="1" thickBot="1" x14ac:dyDescent="0.35">
      <c r="B136" s="57" t="s">
        <v>267</v>
      </c>
      <c r="C136" s="54" t="s">
        <v>38</v>
      </c>
      <c r="D136" s="55"/>
      <c r="E136" s="56"/>
      <c r="F136" s="56"/>
      <c r="G136" s="29"/>
      <c r="H136" s="29" t="str">
        <f t="shared" si="74"/>
        <v/>
      </c>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c r="AP136" s="4"/>
      <c r="AQ136" s="4"/>
      <c r="AR136" s="4"/>
      <c r="AS136" s="4"/>
      <c r="AT136" s="4"/>
      <c r="AU136" s="4"/>
      <c r="AV136" s="4"/>
      <c r="AW136" s="4"/>
      <c r="AX136" s="4"/>
      <c r="AY136" s="4"/>
      <c r="AZ136" s="4"/>
      <c r="BA136" s="4"/>
      <c r="BB136" s="4"/>
      <c r="BC136" s="4"/>
      <c r="BD136" s="4"/>
      <c r="BE136" s="4"/>
      <c r="BF136" s="4"/>
      <c r="BG136" s="4"/>
      <c r="BH136" s="4"/>
      <c r="BI136" s="4"/>
      <c r="BJ136" s="4"/>
      <c r="BK136" s="4"/>
      <c r="BL136" s="4"/>
      <c r="BM136" s="4"/>
      <c r="BN136" s="4"/>
      <c r="BO136" s="4"/>
      <c r="BP136" s="4"/>
      <c r="BQ136" s="4"/>
      <c r="BR136" s="4"/>
      <c r="BS136" s="4"/>
      <c r="BT136" s="4"/>
      <c r="BU136" s="4"/>
      <c r="BV136" s="4"/>
      <c r="BW136" s="4"/>
      <c r="BX136" s="4"/>
      <c r="BY136" s="4"/>
      <c r="BZ136" s="4"/>
      <c r="CA136" s="4"/>
      <c r="CB136" s="4"/>
      <c r="CC136" s="4"/>
      <c r="CD136" s="4"/>
      <c r="CE136" s="4"/>
      <c r="CF136" s="4"/>
      <c r="CG136" s="4"/>
      <c r="CH136" s="4"/>
      <c r="CI136" s="4"/>
      <c r="CJ136" s="4"/>
      <c r="CK136" s="4"/>
      <c r="CL136" s="4"/>
      <c r="CM136" s="4"/>
      <c r="CN136" s="4"/>
      <c r="CO136" s="4"/>
      <c r="CP136" s="4"/>
      <c r="CQ136" s="4"/>
      <c r="CR136" s="4"/>
      <c r="CS136" s="4"/>
      <c r="CT136" s="4"/>
      <c r="CU136" s="4"/>
      <c r="CV136" s="4"/>
      <c r="CW136" s="4"/>
      <c r="CX136" s="4"/>
      <c r="CY136" s="4"/>
      <c r="CZ136" s="4"/>
      <c r="DA136" s="4"/>
      <c r="DB136" s="4"/>
      <c r="DC136" s="4"/>
      <c r="DD136" s="4"/>
      <c r="DE136" s="4"/>
      <c r="DF136" s="4"/>
      <c r="DG136" s="4"/>
      <c r="DH136" s="4"/>
      <c r="DI136" s="4"/>
      <c r="DJ136" s="4"/>
      <c r="DK136" s="4"/>
      <c r="DL136" s="4"/>
      <c r="DM136" s="4"/>
      <c r="DN136" s="4"/>
      <c r="DO136" s="4"/>
      <c r="DP136" s="4"/>
      <c r="DQ136" s="4"/>
      <c r="DR136" s="4"/>
      <c r="DS136" s="4"/>
      <c r="DT136" s="4"/>
      <c r="DU136" s="4"/>
      <c r="DV136" s="4"/>
      <c r="DW136" s="4"/>
      <c r="DX136" s="4"/>
      <c r="DY136" s="4"/>
      <c r="DZ136" s="4"/>
      <c r="EA136" s="4"/>
      <c r="EB136" s="4"/>
      <c r="EC136" s="4"/>
      <c r="ED136" s="4"/>
    </row>
    <row r="137" spans="2:134" ht="30" customHeight="1" thickBot="1" x14ac:dyDescent="0.35">
      <c r="B137" s="77" t="s">
        <v>247</v>
      </c>
      <c r="C137" s="13" t="s">
        <v>38</v>
      </c>
      <c r="D137" s="30">
        <v>0</v>
      </c>
      <c r="E137" s="49">
        <f>E135+3</f>
        <v>46370</v>
      </c>
      <c r="F137" s="49">
        <f>E137+1</f>
        <v>46371</v>
      </c>
      <c r="G137" s="29"/>
      <c r="H137" s="29">
        <f t="shared" si="74"/>
        <v>2</v>
      </c>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c r="AP137" s="4"/>
      <c r="AQ137" s="4"/>
      <c r="AR137" s="4"/>
      <c r="AS137" s="4"/>
      <c r="AT137" s="4"/>
      <c r="AU137" s="4"/>
      <c r="AV137" s="4"/>
      <c r="AW137" s="4"/>
      <c r="AX137" s="4"/>
      <c r="AY137" s="4"/>
      <c r="AZ137" s="4"/>
      <c r="BA137" s="4"/>
      <c r="BB137" s="4"/>
      <c r="BC137" s="4"/>
      <c r="BD137" s="4"/>
      <c r="BE137" s="4"/>
      <c r="BF137" s="4"/>
      <c r="BG137" s="4"/>
      <c r="BH137" s="4"/>
      <c r="BI137" s="4"/>
      <c r="BJ137" s="4"/>
      <c r="BK137" s="4"/>
      <c r="BL137" s="4"/>
      <c r="BM137" s="4"/>
      <c r="BN137" s="4"/>
      <c r="BO137" s="4"/>
      <c r="BP137" s="4"/>
      <c r="BQ137" s="4"/>
      <c r="BR137" s="4"/>
      <c r="BS137" s="4"/>
      <c r="BT137" s="4"/>
      <c r="BU137" s="4"/>
      <c r="BV137" s="4"/>
      <c r="BW137" s="4"/>
      <c r="BX137" s="4"/>
      <c r="BY137" s="4"/>
      <c r="BZ137" s="4"/>
      <c r="CA137" s="4"/>
      <c r="CB137" s="4"/>
      <c r="CC137" s="4"/>
      <c r="CD137" s="4"/>
      <c r="CE137" s="4"/>
      <c r="CF137" s="4"/>
      <c r="CG137" s="4"/>
      <c r="CH137" s="4"/>
      <c r="CI137" s="4"/>
      <c r="CJ137" s="4"/>
      <c r="CK137" s="4"/>
      <c r="CL137" s="4"/>
      <c r="CM137" s="4"/>
      <c r="CN137" s="4"/>
      <c r="CO137" s="4"/>
      <c r="CP137" s="4"/>
      <c r="CQ137" s="4"/>
      <c r="CR137" s="4"/>
      <c r="CS137" s="4"/>
      <c r="CT137" s="4"/>
      <c r="CU137" s="4"/>
      <c r="CV137" s="4"/>
      <c r="CW137" s="4"/>
      <c r="CX137" s="4"/>
      <c r="CY137" s="4"/>
      <c r="CZ137" s="4"/>
      <c r="DA137" s="4"/>
      <c r="DB137" s="4"/>
      <c r="DC137" s="4"/>
      <c r="DD137" s="4"/>
      <c r="DE137" s="4"/>
      <c r="DF137" s="4"/>
      <c r="DG137" s="4"/>
      <c r="DH137" s="4"/>
      <c r="DI137" s="4"/>
      <c r="DJ137" s="4"/>
      <c r="DK137" s="4"/>
      <c r="DL137" s="4"/>
      <c r="DM137" s="4"/>
      <c r="DN137" s="4"/>
      <c r="DO137" s="4"/>
      <c r="DP137" s="4"/>
      <c r="DQ137" s="4"/>
      <c r="DR137" s="4"/>
      <c r="DS137" s="4"/>
      <c r="DT137" s="4"/>
      <c r="DU137" s="4"/>
      <c r="DV137" s="4"/>
      <c r="DW137" s="4"/>
      <c r="DX137" s="4"/>
      <c r="DY137" s="4"/>
      <c r="DZ137" s="4"/>
      <c r="EA137" s="4"/>
      <c r="EB137" s="4"/>
      <c r="EC137" s="4"/>
      <c r="ED137" s="4"/>
    </row>
    <row r="138" spans="2:134" ht="30" customHeight="1" thickBot="1" x14ac:dyDescent="0.35">
      <c r="B138" s="77" t="s">
        <v>248</v>
      </c>
      <c r="C138" s="13" t="s">
        <v>38</v>
      </c>
      <c r="D138" s="30">
        <v>0</v>
      </c>
      <c r="E138" s="49">
        <f>E137</f>
        <v>46370</v>
      </c>
      <c r="F138" s="49">
        <f>E138+1</f>
        <v>46371</v>
      </c>
      <c r="G138" s="29"/>
      <c r="H138" s="29">
        <f t="shared" si="74"/>
        <v>2</v>
      </c>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c r="AP138" s="4"/>
      <c r="AQ138" s="4"/>
      <c r="AR138" s="4"/>
      <c r="AS138" s="4"/>
      <c r="AT138" s="4"/>
      <c r="AU138" s="4"/>
      <c r="AV138" s="4"/>
      <c r="AW138" s="4"/>
      <c r="AX138" s="4"/>
      <c r="AY138" s="4"/>
      <c r="AZ138" s="4"/>
      <c r="BA138" s="4"/>
      <c r="BB138" s="4"/>
      <c r="BC138" s="4"/>
      <c r="BD138" s="4"/>
      <c r="BE138" s="4"/>
      <c r="BF138" s="4"/>
      <c r="BG138" s="4"/>
      <c r="BH138" s="4"/>
      <c r="BI138" s="4"/>
      <c r="BJ138" s="4"/>
      <c r="BK138" s="4"/>
      <c r="BL138" s="4"/>
      <c r="BM138" s="4"/>
      <c r="BN138" s="4"/>
      <c r="BO138" s="4"/>
      <c r="BP138" s="4"/>
      <c r="BQ138" s="4"/>
      <c r="BR138" s="4"/>
      <c r="BS138" s="4"/>
      <c r="BT138" s="4"/>
      <c r="BU138" s="4"/>
      <c r="BV138" s="4"/>
      <c r="BW138" s="4"/>
      <c r="BX138" s="4"/>
      <c r="BY138" s="4"/>
      <c r="BZ138" s="4"/>
      <c r="CA138" s="4"/>
      <c r="CB138" s="4"/>
      <c r="CC138" s="4"/>
      <c r="CD138" s="4"/>
      <c r="CE138" s="4"/>
      <c r="CF138" s="4"/>
      <c r="CG138" s="4"/>
      <c r="CH138" s="4"/>
      <c r="CI138" s="4"/>
      <c r="CJ138" s="4"/>
      <c r="CK138" s="4"/>
      <c r="CL138" s="4"/>
      <c r="CM138" s="4"/>
      <c r="CN138" s="4"/>
      <c r="CO138" s="4"/>
      <c r="CP138" s="4"/>
      <c r="CQ138" s="4"/>
      <c r="CR138" s="4"/>
      <c r="CS138" s="4"/>
      <c r="CT138" s="4"/>
      <c r="CU138" s="4"/>
      <c r="CV138" s="4"/>
      <c r="CW138" s="4"/>
      <c r="CX138" s="4"/>
      <c r="CY138" s="4"/>
      <c r="CZ138" s="4"/>
      <c r="DA138" s="4"/>
      <c r="DB138" s="4"/>
      <c r="DC138" s="4"/>
      <c r="DD138" s="4"/>
      <c r="DE138" s="4"/>
      <c r="DF138" s="4"/>
      <c r="DG138" s="4"/>
      <c r="DH138" s="4"/>
      <c r="DI138" s="4"/>
      <c r="DJ138" s="4"/>
      <c r="DK138" s="4"/>
      <c r="DL138" s="4"/>
      <c r="DM138" s="4"/>
      <c r="DN138" s="4"/>
      <c r="DO138" s="4"/>
      <c r="DP138" s="4"/>
      <c r="DQ138" s="4"/>
      <c r="DR138" s="4"/>
      <c r="DS138" s="4"/>
      <c r="DT138" s="4"/>
      <c r="DU138" s="4"/>
      <c r="DV138" s="4"/>
      <c r="DW138" s="4"/>
      <c r="DX138" s="4"/>
      <c r="DY138" s="4"/>
      <c r="DZ138" s="4"/>
      <c r="EA138" s="4"/>
      <c r="EB138" s="4"/>
      <c r="EC138" s="4"/>
      <c r="ED138" s="4"/>
    </row>
    <row r="139" spans="2:134" ht="30" customHeight="1" thickBot="1" x14ac:dyDescent="0.35">
      <c r="B139" s="57" t="s">
        <v>71</v>
      </c>
      <c r="C139" s="54" t="s">
        <v>38</v>
      </c>
      <c r="D139" s="55"/>
      <c r="E139" s="56"/>
      <c r="F139" s="56"/>
      <c r="G139" s="29"/>
      <c r="H139" s="29" t="str">
        <f t="shared" si="74"/>
        <v/>
      </c>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c r="AP139" s="4"/>
      <c r="AQ139" s="4"/>
      <c r="AR139" s="4"/>
      <c r="AS139" s="4"/>
      <c r="AT139" s="4"/>
      <c r="AU139" s="4"/>
      <c r="AV139" s="4"/>
      <c r="AW139" s="4"/>
      <c r="AX139" s="4"/>
      <c r="AY139" s="4"/>
      <c r="AZ139" s="4"/>
      <c r="BA139" s="4"/>
      <c r="BB139" s="4"/>
      <c r="BC139" s="4"/>
      <c r="BD139" s="4"/>
      <c r="BE139" s="4"/>
      <c r="BF139" s="4"/>
      <c r="BG139" s="4"/>
      <c r="BH139" s="4"/>
      <c r="BI139" s="4"/>
      <c r="BJ139" s="4"/>
      <c r="BK139" s="4"/>
      <c r="BL139" s="4"/>
      <c r="BM139" s="4"/>
      <c r="BN139" s="4"/>
      <c r="BO139" s="4"/>
      <c r="BP139" s="4"/>
      <c r="BQ139" s="4"/>
      <c r="BR139" s="4"/>
      <c r="BS139" s="4"/>
      <c r="BT139" s="4"/>
      <c r="BU139" s="4"/>
      <c r="BV139" s="4"/>
      <c r="BW139" s="4"/>
      <c r="BX139" s="4"/>
      <c r="BY139" s="4"/>
      <c r="BZ139" s="4"/>
      <c r="CA139" s="4"/>
      <c r="CB139" s="4"/>
      <c r="CC139" s="4"/>
      <c r="CD139" s="4"/>
      <c r="CE139" s="4"/>
      <c r="CF139" s="4"/>
      <c r="CG139" s="4"/>
      <c r="CH139" s="4"/>
      <c r="CI139" s="4"/>
      <c r="CJ139" s="4"/>
      <c r="CK139" s="4"/>
      <c r="CL139" s="4"/>
      <c r="CM139" s="4"/>
      <c r="CN139" s="4"/>
      <c r="CO139" s="4"/>
      <c r="CP139" s="4"/>
      <c r="CQ139" s="4"/>
      <c r="CR139" s="4"/>
      <c r="CS139" s="4"/>
      <c r="CT139" s="4"/>
      <c r="CU139" s="4"/>
      <c r="CV139" s="4"/>
      <c r="CW139" s="4"/>
      <c r="CX139" s="4"/>
      <c r="CY139" s="4"/>
      <c r="CZ139" s="4"/>
      <c r="DA139" s="4"/>
      <c r="DB139" s="4"/>
      <c r="DC139" s="4"/>
      <c r="DD139" s="4"/>
      <c r="DE139" s="4"/>
      <c r="DF139" s="4"/>
      <c r="DG139" s="4"/>
      <c r="DH139" s="4"/>
      <c r="DI139" s="4"/>
      <c r="DJ139" s="4"/>
      <c r="DK139" s="4"/>
      <c r="DL139" s="4"/>
      <c r="DM139" s="4"/>
      <c r="DN139" s="4"/>
      <c r="DO139" s="4"/>
      <c r="DP139" s="4"/>
      <c r="DQ139" s="4"/>
      <c r="DR139" s="4"/>
      <c r="DS139" s="4"/>
      <c r="DT139" s="4"/>
      <c r="DU139" s="4"/>
      <c r="DV139" s="4"/>
      <c r="DW139" s="4"/>
      <c r="DX139" s="4"/>
      <c r="DY139" s="4"/>
      <c r="DZ139" s="4"/>
      <c r="EA139" s="4"/>
      <c r="EB139" s="4"/>
      <c r="EC139" s="4"/>
      <c r="ED139" s="4"/>
    </row>
    <row r="140" spans="2:134" ht="30" customHeight="1" thickBot="1" x14ac:dyDescent="0.35">
      <c r="B140" s="27" t="s">
        <v>109</v>
      </c>
      <c r="C140" s="12" t="s">
        <v>38</v>
      </c>
      <c r="D140" s="28"/>
      <c r="E140" s="47"/>
      <c r="F140" s="48"/>
      <c r="G140" s="29"/>
      <c r="H140" s="29" t="str">
        <f t="shared" si="74"/>
        <v/>
      </c>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c r="AP140" s="4"/>
      <c r="AQ140" s="4"/>
      <c r="AR140" s="4"/>
      <c r="AS140" s="4"/>
      <c r="AT140" s="4"/>
      <c r="AU140" s="4"/>
      <c r="AV140" s="4"/>
      <c r="AW140" s="4"/>
      <c r="AX140" s="4"/>
      <c r="AY140" s="4"/>
      <c r="AZ140" s="4"/>
      <c r="BA140" s="4"/>
      <c r="BB140" s="4"/>
      <c r="BC140" s="4"/>
      <c r="BD140" s="4"/>
      <c r="BE140" s="4"/>
      <c r="BF140" s="4"/>
      <c r="BG140" s="4"/>
      <c r="BH140" s="4"/>
      <c r="BI140" s="4"/>
      <c r="BJ140" s="4"/>
      <c r="BK140" s="4"/>
      <c r="BL140" s="4"/>
      <c r="BM140" s="4"/>
      <c r="BN140" s="4"/>
      <c r="BO140" s="4"/>
      <c r="BP140" s="4"/>
      <c r="BQ140" s="4"/>
      <c r="BR140" s="4"/>
      <c r="BS140" s="4"/>
      <c r="BT140" s="4"/>
      <c r="BU140" s="4"/>
      <c r="BV140" s="4"/>
      <c r="BW140" s="4"/>
      <c r="BX140" s="4"/>
      <c r="BY140" s="4"/>
      <c r="BZ140" s="4"/>
      <c r="CA140" s="4"/>
      <c r="CB140" s="4"/>
      <c r="CC140" s="4"/>
      <c r="CD140" s="4"/>
      <c r="CE140" s="4"/>
      <c r="CF140" s="4"/>
      <c r="CG140" s="4"/>
      <c r="CH140" s="4"/>
      <c r="CI140" s="4"/>
      <c r="CJ140" s="4"/>
      <c r="CK140" s="4"/>
      <c r="CL140" s="4"/>
      <c r="CM140" s="4"/>
      <c r="CN140" s="4"/>
      <c r="CO140" s="4"/>
      <c r="CP140" s="4"/>
      <c r="CQ140" s="4"/>
      <c r="CR140" s="4"/>
      <c r="CS140" s="4"/>
      <c r="CT140" s="4"/>
      <c r="CU140" s="4"/>
      <c r="CV140" s="4"/>
      <c r="CW140" s="4"/>
      <c r="CX140" s="4"/>
      <c r="CY140" s="4"/>
      <c r="CZ140" s="4"/>
      <c r="DA140" s="4"/>
      <c r="DB140" s="4"/>
      <c r="DC140" s="4"/>
      <c r="DD140" s="4"/>
      <c r="DE140" s="4"/>
      <c r="DF140" s="4"/>
      <c r="DG140" s="4"/>
      <c r="DH140" s="4"/>
      <c r="DI140" s="4"/>
      <c r="DJ140" s="4"/>
      <c r="DK140" s="4"/>
      <c r="DL140" s="4"/>
      <c r="DM140" s="4"/>
      <c r="DN140" s="4"/>
      <c r="DO140" s="4"/>
      <c r="DP140" s="4"/>
      <c r="DQ140" s="4"/>
      <c r="DR140" s="4"/>
      <c r="DS140" s="4"/>
      <c r="DT140" s="4"/>
      <c r="DU140" s="4"/>
      <c r="DV140" s="4"/>
      <c r="DW140" s="4"/>
      <c r="DX140" s="4"/>
      <c r="DY140" s="4"/>
      <c r="DZ140" s="4"/>
      <c r="EA140" s="4"/>
      <c r="EB140" s="4"/>
      <c r="EC140" s="4"/>
      <c r="ED140" s="4"/>
    </row>
    <row r="141" spans="2:134" ht="30" customHeight="1" thickBot="1" x14ac:dyDescent="0.35">
      <c r="B141" s="62" t="s">
        <v>110</v>
      </c>
      <c r="C141" s="13" t="s">
        <v>38</v>
      </c>
      <c r="D141" s="30">
        <v>0</v>
      </c>
      <c r="E141" s="49">
        <f>F138+1</f>
        <v>46372</v>
      </c>
      <c r="F141" s="49">
        <f>E141</f>
        <v>46372</v>
      </c>
      <c r="G141" s="29"/>
      <c r="H141" s="29">
        <f t="shared" si="74"/>
        <v>1</v>
      </c>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c r="AP141" s="4"/>
      <c r="AQ141" s="4"/>
      <c r="AR141" s="4"/>
      <c r="AS141" s="4"/>
      <c r="AT141" s="4"/>
      <c r="AU141" s="4"/>
      <c r="AV141" s="4"/>
      <c r="AW141" s="4"/>
      <c r="AX141" s="4"/>
      <c r="AY141" s="4"/>
      <c r="AZ141" s="4"/>
      <c r="BA141" s="4"/>
      <c r="BB141" s="4"/>
      <c r="BC141" s="4"/>
      <c r="BD141" s="4"/>
      <c r="BE141" s="4"/>
      <c r="BF141" s="4"/>
      <c r="BG141" s="4"/>
      <c r="BH141" s="4"/>
      <c r="BI141" s="4"/>
      <c r="BJ141" s="4"/>
      <c r="BK141" s="4"/>
      <c r="BL141" s="4"/>
      <c r="BM141" s="4"/>
      <c r="BN141" s="4"/>
      <c r="BO141" s="4"/>
      <c r="BP141" s="4"/>
      <c r="BQ141" s="4"/>
      <c r="BR141" s="4"/>
      <c r="BS141" s="4"/>
      <c r="BT141" s="4"/>
      <c r="BU141" s="4"/>
      <c r="BV141" s="4"/>
      <c r="BW141" s="4"/>
      <c r="BX141" s="4"/>
      <c r="BY141" s="4"/>
      <c r="BZ141" s="4"/>
      <c r="CA141" s="4"/>
      <c r="CB141" s="4"/>
      <c r="CC141" s="4"/>
      <c r="CD141" s="4"/>
      <c r="CE141" s="4"/>
      <c r="CF141" s="4"/>
      <c r="CG141" s="4"/>
      <c r="CH141" s="4"/>
      <c r="CI141" s="4"/>
      <c r="CJ141" s="4"/>
      <c r="CK141" s="4"/>
      <c r="CL141" s="4"/>
      <c r="CM141" s="4"/>
      <c r="CN141" s="4"/>
      <c r="CO141" s="4"/>
      <c r="CP141" s="4"/>
      <c r="CQ141" s="4"/>
      <c r="CR141" s="4"/>
      <c r="CS141" s="4"/>
      <c r="CT141" s="4"/>
      <c r="CU141" s="4"/>
      <c r="CV141" s="4"/>
      <c r="CW141" s="4"/>
      <c r="CX141" s="4"/>
      <c r="CY141" s="4"/>
      <c r="CZ141" s="4"/>
      <c r="DA141" s="4"/>
      <c r="DB141" s="4"/>
      <c r="DC141" s="4"/>
      <c r="DD141" s="4"/>
      <c r="DE141" s="4"/>
      <c r="DF141" s="4"/>
      <c r="DG141" s="4"/>
      <c r="DH141" s="4"/>
      <c r="DI141" s="4"/>
      <c r="DJ141" s="4"/>
      <c r="DK141" s="4"/>
      <c r="DL141" s="4"/>
      <c r="DM141" s="4"/>
      <c r="DN141" s="4"/>
      <c r="DO141" s="4"/>
      <c r="DP141" s="4"/>
      <c r="DQ141" s="4"/>
      <c r="DR141" s="4"/>
      <c r="DS141" s="4"/>
      <c r="DT141" s="4"/>
      <c r="DU141" s="4"/>
      <c r="DV141" s="4"/>
      <c r="DW141" s="4"/>
      <c r="DX141" s="4"/>
      <c r="DY141" s="4"/>
      <c r="DZ141" s="4"/>
      <c r="EA141" s="4"/>
      <c r="EB141" s="4"/>
      <c r="EC141" s="4"/>
      <c r="ED141" s="4"/>
    </row>
    <row r="142" spans="2:134" ht="30" customHeight="1" thickBot="1" x14ac:dyDescent="0.35">
      <c r="B142" s="62" t="s">
        <v>111</v>
      </c>
      <c r="C142" s="13" t="s">
        <v>38</v>
      </c>
      <c r="D142" s="30">
        <v>0</v>
      </c>
      <c r="E142" s="49">
        <f>F141</f>
        <v>46372</v>
      </c>
      <c r="F142" s="49">
        <f>E142</f>
        <v>46372</v>
      </c>
      <c r="G142" s="29"/>
      <c r="H142" s="29">
        <f t="shared" si="74"/>
        <v>1</v>
      </c>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c r="AP142" s="4"/>
      <c r="AQ142" s="4"/>
      <c r="AR142" s="4"/>
      <c r="AS142" s="4"/>
      <c r="AT142" s="4"/>
      <c r="AU142" s="4"/>
      <c r="AV142" s="4"/>
      <c r="AW142" s="4"/>
      <c r="AX142" s="4"/>
      <c r="AY142" s="4"/>
      <c r="AZ142" s="4"/>
      <c r="BA142" s="4"/>
      <c r="BB142" s="4"/>
      <c r="BC142" s="4"/>
      <c r="BD142" s="4"/>
      <c r="BE142" s="4"/>
      <c r="BF142" s="4"/>
      <c r="BG142" s="4"/>
      <c r="BH142" s="4"/>
      <c r="BI142" s="4"/>
      <c r="BJ142" s="4"/>
      <c r="BK142" s="4"/>
      <c r="BL142" s="4"/>
      <c r="BM142" s="4"/>
      <c r="BN142" s="4"/>
      <c r="BO142" s="4"/>
      <c r="BP142" s="4"/>
      <c r="BQ142" s="4"/>
      <c r="BR142" s="4"/>
      <c r="BS142" s="4"/>
      <c r="BT142" s="4"/>
      <c r="BU142" s="4"/>
      <c r="BV142" s="4"/>
      <c r="BW142" s="4"/>
      <c r="BX142" s="4"/>
      <c r="BY142" s="4"/>
      <c r="BZ142" s="4"/>
      <c r="CA142" s="4"/>
      <c r="CB142" s="4"/>
      <c r="CC142" s="4"/>
      <c r="CD142" s="4"/>
      <c r="CE142" s="4"/>
      <c r="CF142" s="4"/>
      <c r="CG142" s="4"/>
      <c r="CH142" s="4"/>
      <c r="CI142" s="4"/>
      <c r="CJ142" s="4"/>
      <c r="CK142" s="4"/>
      <c r="CL142" s="4"/>
      <c r="CM142" s="4"/>
      <c r="CN142" s="4"/>
      <c r="CO142" s="4"/>
      <c r="CP142" s="4"/>
      <c r="CQ142" s="4"/>
      <c r="CR142" s="4"/>
      <c r="CS142" s="4"/>
      <c r="CT142" s="4"/>
      <c r="CU142" s="4"/>
      <c r="CV142" s="4"/>
      <c r="CW142" s="4"/>
      <c r="CX142" s="4"/>
      <c r="CY142" s="4"/>
      <c r="CZ142" s="4"/>
      <c r="DA142" s="4"/>
      <c r="DB142" s="4"/>
      <c r="DC142" s="4"/>
      <c r="DD142" s="4"/>
      <c r="DE142" s="4"/>
      <c r="DF142" s="4"/>
      <c r="DG142" s="4"/>
      <c r="DH142" s="4"/>
      <c r="DI142" s="4"/>
      <c r="DJ142" s="4"/>
      <c r="DK142" s="4"/>
      <c r="DL142" s="4"/>
      <c r="DM142" s="4"/>
      <c r="DN142" s="4"/>
      <c r="DO142" s="4"/>
      <c r="DP142" s="4"/>
      <c r="DQ142" s="4"/>
      <c r="DR142" s="4"/>
      <c r="DS142" s="4"/>
      <c r="DT142" s="4"/>
      <c r="DU142" s="4"/>
      <c r="DV142" s="4"/>
      <c r="DW142" s="4"/>
      <c r="DX142" s="4"/>
      <c r="DY142" s="4"/>
      <c r="DZ142" s="4"/>
      <c r="EA142" s="4"/>
      <c r="EB142" s="4"/>
      <c r="EC142" s="4"/>
      <c r="ED142" s="4"/>
    </row>
    <row r="143" spans="2:134" ht="30" customHeight="1" thickBot="1" x14ac:dyDescent="0.35">
      <c r="B143" s="62" t="s">
        <v>112</v>
      </c>
      <c r="C143" s="13" t="s">
        <v>38</v>
      </c>
      <c r="D143" s="30">
        <v>0</v>
      </c>
      <c r="E143" s="49">
        <f>F141</f>
        <v>46372</v>
      </c>
      <c r="F143" s="49">
        <f>E143</f>
        <v>46372</v>
      </c>
      <c r="G143" s="29"/>
      <c r="H143" s="29">
        <f t="shared" si="74"/>
        <v>1</v>
      </c>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c r="AP143" s="4"/>
      <c r="AQ143" s="4"/>
      <c r="AR143" s="4"/>
      <c r="AS143" s="4"/>
      <c r="AT143" s="4"/>
      <c r="AU143" s="4"/>
      <c r="AV143" s="4"/>
      <c r="AW143" s="4"/>
      <c r="AX143" s="4"/>
      <c r="AY143" s="4"/>
      <c r="AZ143" s="4"/>
      <c r="BA143" s="4"/>
      <c r="BB143" s="4"/>
      <c r="BC143" s="4"/>
      <c r="BD143" s="4"/>
      <c r="BE143" s="4"/>
      <c r="BF143" s="4"/>
      <c r="BG143" s="4"/>
      <c r="BH143" s="4"/>
      <c r="BI143" s="4"/>
      <c r="BJ143" s="4"/>
      <c r="BK143" s="4"/>
      <c r="BL143" s="4"/>
      <c r="BM143" s="4"/>
      <c r="BN143" s="4"/>
      <c r="BO143" s="4"/>
      <c r="BP143" s="4"/>
      <c r="BQ143" s="4"/>
      <c r="BR143" s="4"/>
      <c r="BS143" s="4"/>
      <c r="BT143" s="4"/>
      <c r="BU143" s="4"/>
      <c r="BV143" s="4"/>
      <c r="BW143" s="4"/>
      <c r="BX143" s="4"/>
      <c r="BY143" s="4"/>
      <c r="BZ143" s="4"/>
      <c r="CA143" s="4"/>
      <c r="CB143" s="4"/>
      <c r="CC143" s="4"/>
      <c r="CD143" s="4"/>
      <c r="CE143" s="4"/>
      <c r="CF143" s="4"/>
      <c r="CG143" s="4"/>
      <c r="CH143" s="4"/>
      <c r="CI143" s="4"/>
      <c r="CJ143" s="4"/>
      <c r="CK143" s="4"/>
      <c r="CL143" s="4"/>
      <c r="CM143" s="4"/>
      <c r="CN143" s="4"/>
      <c r="CO143" s="4"/>
      <c r="CP143" s="4"/>
      <c r="CQ143" s="4"/>
      <c r="CR143" s="4"/>
      <c r="CS143" s="4"/>
      <c r="CT143" s="4"/>
      <c r="CU143" s="4"/>
      <c r="CV143" s="4"/>
      <c r="CW143" s="4"/>
      <c r="CX143" s="4"/>
      <c r="CY143" s="4"/>
      <c r="CZ143" s="4"/>
      <c r="DA143" s="4"/>
      <c r="DB143" s="4"/>
      <c r="DC143" s="4"/>
      <c r="DD143" s="4"/>
      <c r="DE143" s="4"/>
      <c r="DF143" s="4"/>
      <c r="DG143" s="4"/>
      <c r="DH143" s="4"/>
      <c r="DI143" s="4"/>
      <c r="DJ143" s="4"/>
      <c r="DK143" s="4"/>
      <c r="DL143" s="4"/>
      <c r="DM143" s="4"/>
      <c r="DN143" s="4"/>
      <c r="DO143" s="4"/>
      <c r="DP143" s="4"/>
      <c r="DQ143" s="4"/>
      <c r="DR143" s="4"/>
      <c r="DS143" s="4"/>
      <c r="DT143" s="4"/>
      <c r="DU143" s="4"/>
      <c r="DV143" s="4"/>
      <c r="DW143" s="4"/>
      <c r="DX143" s="4"/>
      <c r="DY143" s="4"/>
      <c r="DZ143" s="4"/>
      <c r="EA143" s="4"/>
      <c r="EB143" s="4"/>
      <c r="EC143" s="4"/>
      <c r="ED143" s="4"/>
    </row>
    <row r="144" spans="2:134" ht="30" customHeight="1" thickBot="1" x14ac:dyDescent="0.35">
      <c r="B144" s="27" t="s">
        <v>113</v>
      </c>
      <c r="C144" s="12" t="s">
        <v>38</v>
      </c>
      <c r="D144" s="28"/>
      <c r="E144" s="47"/>
      <c r="F144" s="48"/>
      <c r="G144" s="29"/>
      <c r="H144" s="29" t="str">
        <f t="shared" si="74"/>
        <v/>
      </c>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c r="AP144" s="4"/>
      <c r="AQ144" s="4"/>
      <c r="AR144" s="4"/>
      <c r="AS144" s="4"/>
      <c r="AT144" s="4"/>
      <c r="AU144" s="4"/>
      <c r="AV144" s="4"/>
      <c r="AW144" s="4"/>
      <c r="AX144" s="4"/>
      <c r="AY144" s="4"/>
      <c r="AZ144" s="4"/>
      <c r="BA144" s="4"/>
      <c r="BB144" s="4"/>
      <c r="BC144" s="4"/>
      <c r="BD144" s="4"/>
      <c r="BE144" s="4"/>
      <c r="BF144" s="4"/>
      <c r="BG144" s="4"/>
      <c r="BH144" s="4"/>
      <c r="BI144" s="4"/>
      <c r="BJ144" s="4"/>
      <c r="BK144" s="4"/>
      <c r="BL144" s="4"/>
      <c r="BM144" s="4"/>
      <c r="BN144" s="4"/>
      <c r="BO144" s="4"/>
      <c r="BP144" s="4"/>
      <c r="BQ144" s="4"/>
      <c r="BR144" s="4"/>
      <c r="BS144" s="4"/>
      <c r="BT144" s="4"/>
      <c r="BU144" s="4"/>
      <c r="BV144" s="4"/>
      <c r="BW144" s="4"/>
      <c r="BX144" s="4"/>
      <c r="BY144" s="4"/>
      <c r="BZ144" s="4"/>
      <c r="CA144" s="4"/>
      <c r="CB144" s="4"/>
      <c r="CC144" s="4"/>
      <c r="CD144" s="4"/>
      <c r="CE144" s="4"/>
      <c r="CF144" s="4"/>
      <c r="CG144" s="4"/>
      <c r="CH144" s="4"/>
      <c r="CI144" s="4"/>
      <c r="CJ144" s="4"/>
      <c r="CK144" s="4"/>
      <c r="CL144" s="4"/>
      <c r="CM144" s="4"/>
      <c r="CN144" s="4"/>
      <c r="CO144" s="4"/>
      <c r="CP144" s="4"/>
      <c r="CQ144" s="4"/>
      <c r="CR144" s="4"/>
      <c r="CS144" s="4"/>
      <c r="CT144" s="4"/>
      <c r="CU144" s="4"/>
      <c r="CV144" s="4"/>
      <c r="CW144" s="4"/>
      <c r="CX144" s="4"/>
      <c r="CY144" s="4"/>
      <c r="CZ144" s="4"/>
      <c r="DA144" s="4"/>
      <c r="DB144" s="4"/>
      <c r="DC144" s="4"/>
      <c r="DD144" s="4"/>
      <c r="DE144" s="4"/>
      <c r="DF144" s="4"/>
      <c r="DG144" s="4"/>
      <c r="DH144" s="4"/>
      <c r="DI144" s="4"/>
      <c r="DJ144" s="4"/>
      <c r="DK144" s="4"/>
      <c r="DL144" s="4"/>
      <c r="DM144" s="4"/>
      <c r="DN144" s="4"/>
      <c r="DO144" s="4"/>
      <c r="DP144" s="4"/>
      <c r="DQ144" s="4"/>
      <c r="DR144" s="4"/>
      <c r="DS144" s="4"/>
      <c r="DT144" s="4"/>
      <c r="DU144" s="4"/>
      <c r="DV144" s="4"/>
      <c r="DW144" s="4"/>
      <c r="DX144" s="4"/>
      <c r="DY144" s="4"/>
      <c r="DZ144" s="4"/>
      <c r="EA144" s="4"/>
      <c r="EB144" s="4"/>
      <c r="EC144" s="4"/>
      <c r="ED144" s="4"/>
    </row>
    <row r="145" spans="2:134" ht="30" customHeight="1" thickBot="1" x14ac:dyDescent="0.35">
      <c r="B145" s="62" t="s">
        <v>114</v>
      </c>
      <c r="C145" s="13" t="s">
        <v>38</v>
      </c>
      <c r="D145" s="30">
        <v>0</v>
      </c>
      <c r="E145" s="49">
        <f>F143+1</f>
        <v>46373</v>
      </c>
      <c r="F145" s="49">
        <f>E145</f>
        <v>46373</v>
      </c>
      <c r="G145" s="29"/>
      <c r="H145" s="29">
        <f t="shared" si="74"/>
        <v>1</v>
      </c>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c r="AP145" s="4"/>
      <c r="AQ145" s="4"/>
      <c r="AR145" s="4"/>
      <c r="AS145" s="4"/>
      <c r="AT145" s="4"/>
      <c r="AU145" s="4"/>
      <c r="AV145" s="4"/>
      <c r="AW145" s="4"/>
      <c r="AX145" s="4"/>
      <c r="AY145" s="4"/>
      <c r="AZ145" s="4"/>
      <c r="BA145" s="4"/>
      <c r="BB145" s="4"/>
      <c r="BC145" s="4"/>
      <c r="BD145" s="4"/>
      <c r="BE145" s="4"/>
      <c r="BF145" s="4"/>
      <c r="BG145" s="4"/>
      <c r="BH145" s="4"/>
      <c r="BI145" s="4"/>
      <c r="BJ145" s="4"/>
      <c r="BK145" s="4"/>
      <c r="BL145" s="4"/>
      <c r="BM145" s="4"/>
      <c r="BN145" s="4"/>
      <c r="BO145" s="4"/>
      <c r="BP145" s="4"/>
      <c r="BQ145" s="4"/>
      <c r="BR145" s="4"/>
      <c r="BS145" s="4"/>
      <c r="BT145" s="4"/>
      <c r="BU145" s="4"/>
      <c r="BV145" s="4"/>
      <c r="BW145" s="4"/>
      <c r="BX145" s="4"/>
      <c r="BY145" s="4"/>
      <c r="BZ145" s="4"/>
      <c r="CA145" s="4"/>
      <c r="CB145" s="4"/>
      <c r="CC145" s="4"/>
      <c r="CD145" s="4"/>
      <c r="CE145" s="4"/>
      <c r="CF145" s="4"/>
      <c r="CG145" s="4"/>
      <c r="CH145" s="4"/>
      <c r="CI145" s="4"/>
      <c r="CJ145" s="4"/>
      <c r="CK145" s="4"/>
      <c r="CL145" s="4"/>
      <c r="CM145" s="4"/>
      <c r="CN145" s="4"/>
      <c r="CO145" s="4"/>
      <c r="CP145" s="4"/>
      <c r="CQ145" s="4"/>
      <c r="CR145" s="4"/>
      <c r="CS145" s="4"/>
      <c r="CT145" s="4"/>
      <c r="CU145" s="4"/>
      <c r="CV145" s="4"/>
      <c r="CW145" s="4"/>
      <c r="CX145" s="4"/>
      <c r="CY145" s="4"/>
      <c r="CZ145" s="4"/>
      <c r="DA145" s="4"/>
      <c r="DB145" s="4"/>
      <c r="DC145" s="4"/>
      <c r="DD145" s="4"/>
      <c r="DE145" s="4"/>
      <c r="DF145" s="4"/>
      <c r="DG145" s="4"/>
      <c r="DH145" s="4"/>
      <c r="DI145" s="4"/>
      <c r="DJ145" s="4"/>
      <c r="DK145" s="4"/>
      <c r="DL145" s="4"/>
      <c r="DM145" s="4"/>
      <c r="DN145" s="4"/>
      <c r="DO145" s="4"/>
      <c r="DP145" s="4"/>
      <c r="DQ145" s="4"/>
      <c r="DR145" s="4"/>
      <c r="DS145" s="4"/>
      <c r="DT145" s="4"/>
      <c r="DU145" s="4"/>
      <c r="DV145" s="4"/>
      <c r="DW145" s="4"/>
      <c r="DX145" s="4"/>
      <c r="DY145" s="4"/>
      <c r="DZ145" s="4"/>
      <c r="EA145" s="4"/>
      <c r="EB145" s="4"/>
      <c r="EC145" s="4"/>
      <c r="ED145" s="4"/>
    </row>
    <row r="146" spans="2:134" ht="30" customHeight="1" thickBot="1" x14ac:dyDescent="0.35">
      <c r="B146" s="62" t="s">
        <v>115</v>
      </c>
      <c r="C146" s="13" t="s">
        <v>38</v>
      </c>
      <c r="D146" s="30">
        <v>0</v>
      </c>
      <c r="E146" s="49">
        <f>F145</f>
        <v>46373</v>
      </c>
      <c r="F146" s="49">
        <f>E146+1</f>
        <v>46374</v>
      </c>
      <c r="G146" s="29"/>
      <c r="H146" s="29">
        <f t="shared" si="74"/>
        <v>2</v>
      </c>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c r="AP146" s="4"/>
      <c r="AQ146" s="4"/>
      <c r="AR146" s="4"/>
      <c r="AS146" s="4"/>
      <c r="AT146" s="4"/>
      <c r="AU146" s="4"/>
      <c r="AV146" s="4"/>
      <c r="AW146" s="4"/>
      <c r="AX146" s="4"/>
      <c r="AY146" s="4"/>
      <c r="AZ146" s="4"/>
      <c r="BA146" s="4"/>
      <c r="BB146" s="4"/>
      <c r="BC146" s="4"/>
      <c r="BD146" s="4"/>
      <c r="BE146" s="4"/>
      <c r="BF146" s="4"/>
      <c r="BG146" s="4"/>
      <c r="BH146" s="4"/>
      <c r="BI146" s="4"/>
      <c r="BJ146" s="4"/>
      <c r="BK146" s="4"/>
      <c r="BL146" s="4"/>
      <c r="BM146" s="4"/>
      <c r="BN146" s="4"/>
      <c r="BO146" s="4"/>
      <c r="BP146" s="4"/>
      <c r="BQ146" s="4"/>
      <c r="BR146" s="4"/>
      <c r="BS146" s="4"/>
      <c r="BT146" s="4"/>
      <c r="BU146" s="4"/>
      <c r="BV146" s="4"/>
      <c r="BW146" s="4"/>
      <c r="BX146" s="4"/>
      <c r="BY146" s="4"/>
      <c r="BZ146" s="4"/>
      <c r="CA146" s="4"/>
      <c r="CB146" s="4"/>
      <c r="CC146" s="4"/>
      <c r="CD146" s="4"/>
      <c r="CE146" s="4"/>
      <c r="CF146" s="4"/>
      <c r="CG146" s="4"/>
      <c r="CH146" s="4"/>
      <c r="CI146" s="4"/>
      <c r="CJ146" s="4"/>
      <c r="CK146" s="4"/>
      <c r="CL146" s="4"/>
      <c r="CM146" s="4"/>
      <c r="CN146" s="4"/>
      <c r="CO146" s="4"/>
      <c r="CP146" s="4"/>
      <c r="CQ146" s="4"/>
      <c r="CR146" s="4"/>
      <c r="CS146" s="4"/>
      <c r="CT146" s="4"/>
      <c r="CU146" s="4"/>
      <c r="CV146" s="4"/>
      <c r="CW146" s="4"/>
      <c r="CX146" s="4"/>
      <c r="CY146" s="4"/>
      <c r="CZ146" s="4"/>
      <c r="DA146" s="4"/>
      <c r="DB146" s="4"/>
      <c r="DC146" s="4"/>
      <c r="DD146" s="4"/>
      <c r="DE146" s="4"/>
      <c r="DF146" s="4"/>
      <c r="DG146" s="4"/>
      <c r="DH146" s="4"/>
      <c r="DI146" s="4"/>
      <c r="DJ146" s="4"/>
      <c r="DK146" s="4"/>
      <c r="DL146" s="4"/>
      <c r="DM146" s="4"/>
      <c r="DN146" s="4"/>
      <c r="DO146" s="4"/>
      <c r="DP146" s="4"/>
      <c r="DQ146" s="4"/>
      <c r="DR146" s="4"/>
      <c r="DS146" s="4"/>
      <c r="DT146" s="4"/>
      <c r="DU146" s="4"/>
      <c r="DV146" s="4"/>
      <c r="DW146" s="4"/>
      <c r="DX146" s="4"/>
      <c r="DY146" s="4"/>
      <c r="DZ146" s="4"/>
      <c r="EA146" s="4"/>
      <c r="EB146" s="4"/>
      <c r="EC146" s="4"/>
      <c r="ED146" s="4"/>
    </row>
    <row r="147" spans="2:134" ht="30" customHeight="1" thickBot="1" x14ac:dyDescent="0.35">
      <c r="B147" s="62" t="s">
        <v>116</v>
      </c>
      <c r="C147" s="13" t="s">
        <v>38</v>
      </c>
      <c r="D147" s="30">
        <v>0</v>
      </c>
      <c r="E147" s="49">
        <f>F145+1</f>
        <v>46374</v>
      </c>
      <c r="F147" s="49">
        <f>E147</f>
        <v>46374</v>
      </c>
      <c r="G147" s="29"/>
      <c r="H147" s="29">
        <f t="shared" si="74"/>
        <v>1</v>
      </c>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c r="AP147" s="4"/>
      <c r="AQ147" s="4"/>
      <c r="AR147" s="4"/>
      <c r="AS147" s="4"/>
      <c r="AT147" s="4"/>
      <c r="AU147" s="4"/>
      <c r="AV147" s="4"/>
      <c r="AW147" s="4"/>
      <c r="AX147" s="4"/>
      <c r="AY147" s="4"/>
      <c r="AZ147" s="4"/>
      <c r="BA147" s="4"/>
      <c r="BB147" s="4"/>
      <c r="BC147" s="4"/>
      <c r="BD147" s="4"/>
      <c r="BE147" s="4"/>
      <c r="BF147" s="4"/>
      <c r="BG147" s="4"/>
      <c r="BH147" s="4"/>
      <c r="BI147" s="4"/>
      <c r="BJ147" s="4"/>
      <c r="BK147" s="4"/>
      <c r="BL147" s="4"/>
      <c r="BM147" s="4"/>
      <c r="BN147" s="4"/>
      <c r="BO147" s="4"/>
      <c r="BP147" s="4"/>
      <c r="BQ147" s="4"/>
      <c r="BR147" s="4"/>
      <c r="BS147" s="4"/>
      <c r="BT147" s="4"/>
      <c r="BU147" s="4"/>
      <c r="BV147" s="4"/>
      <c r="BW147" s="4"/>
      <c r="BX147" s="4"/>
      <c r="BY147" s="4"/>
      <c r="BZ147" s="4"/>
      <c r="CA147" s="4"/>
      <c r="CB147" s="4"/>
      <c r="CC147" s="4"/>
      <c r="CD147" s="4"/>
      <c r="CE147" s="4"/>
      <c r="CF147" s="4"/>
      <c r="CG147" s="4"/>
      <c r="CH147" s="4"/>
      <c r="CI147" s="4"/>
      <c r="CJ147" s="4"/>
      <c r="CK147" s="4"/>
      <c r="CL147" s="4"/>
      <c r="CM147" s="4"/>
      <c r="CN147" s="4"/>
      <c r="CO147" s="4"/>
      <c r="CP147" s="4"/>
      <c r="CQ147" s="4"/>
      <c r="CR147" s="4"/>
      <c r="CS147" s="4"/>
      <c r="CT147" s="4"/>
      <c r="CU147" s="4"/>
      <c r="CV147" s="4"/>
      <c r="CW147" s="4"/>
      <c r="CX147" s="4"/>
      <c r="CY147" s="4"/>
      <c r="CZ147" s="4"/>
      <c r="DA147" s="4"/>
      <c r="DB147" s="4"/>
      <c r="DC147" s="4"/>
      <c r="DD147" s="4"/>
      <c r="DE147" s="4"/>
      <c r="DF147" s="4"/>
      <c r="DG147" s="4"/>
      <c r="DH147" s="4"/>
      <c r="DI147" s="4"/>
      <c r="DJ147" s="4"/>
      <c r="DK147" s="4"/>
      <c r="DL147" s="4"/>
      <c r="DM147" s="4"/>
      <c r="DN147" s="4"/>
      <c r="DO147" s="4"/>
      <c r="DP147" s="4"/>
      <c r="DQ147" s="4"/>
      <c r="DR147" s="4"/>
      <c r="DS147" s="4"/>
      <c r="DT147" s="4"/>
      <c r="DU147" s="4"/>
      <c r="DV147" s="4"/>
      <c r="DW147" s="4"/>
      <c r="DX147" s="4"/>
      <c r="DY147" s="4"/>
      <c r="DZ147" s="4"/>
      <c r="EA147" s="4"/>
      <c r="EB147" s="4"/>
      <c r="EC147" s="4"/>
      <c r="ED147" s="4"/>
    </row>
    <row r="148" spans="2:134" ht="30" customHeight="1" thickBot="1" x14ac:dyDescent="0.35">
      <c r="B148" s="57" t="s">
        <v>177</v>
      </c>
      <c r="C148" s="54" t="s">
        <v>38</v>
      </c>
      <c r="D148" s="55"/>
      <c r="E148" s="56"/>
      <c r="F148" s="56"/>
      <c r="G148" s="29"/>
      <c r="H148" s="29" t="str">
        <f t="shared" si="74"/>
        <v/>
      </c>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c r="AP148" s="4"/>
      <c r="AQ148" s="4"/>
      <c r="AR148" s="4"/>
      <c r="AS148" s="4"/>
      <c r="AT148" s="4"/>
      <c r="AU148" s="4"/>
      <c r="AV148" s="4"/>
      <c r="AW148" s="4"/>
      <c r="AX148" s="4"/>
      <c r="AY148" s="4"/>
      <c r="AZ148" s="4"/>
      <c r="BA148" s="4"/>
      <c r="BB148" s="4"/>
      <c r="BC148" s="4"/>
      <c r="BD148" s="4"/>
      <c r="BE148" s="4"/>
      <c r="BF148" s="4"/>
      <c r="BG148" s="4"/>
      <c r="BH148" s="4"/>
      <c r="BI148" s="4"/>
      <c r="BJ148" s="4"/>
      <c r="BK148" s="4"/>
      <c r="BL148" s="4"/>
      <c r="BM148" s="4"/>
      <c r="BN148" s="4"/>
      <c r="BO148" s="4"/>
      <c r="BP148" s="4"/>
      <c r="BQ148" s="4"/>
      <c r="BR148" s="4"/>
      <c r="BS148" s="4"/>
      <c r="BT148" s="4"/>
      <c r="BU148" s="4"/>
      <c r="BV148" s="4"/>
      <c r="BW148" s="4"/>
      <c r="BX148" s="4"/>
      <c r="BY148" s="4"/>
      <c r="BZ148" s="4"/>
      <c r="CA148" s="4"/>
      <c r="CB148" s="4"/>
      <c r="CC148" s="4"/>
      <c r="CD148" s="4"/>
      <c r="CE148" s="4"/>
      <c r="CF148" s="4"/>
      <c r="CG148" s="4"/>
      <c r="CH148" s="4"/>
      <c r="CI148" s="4"/>
      <c r="CJ148" s="4"/>
      <c r="CK148" s="4"/>
      <c r="CL148" s="4"/>
      <c r="CM148" s="4"/>
      <c r="CN148" s="4"/>
      <c r="CO148" s="4"/>
      <c r="CP148" s="4"/>
      <c r="CQ148" s="4"/>
      <c r="CR148" s="4"/>
      <c r="CS148" s="4"/>
      <c r="CT148" s="4"/>
      <c r="CU148" s="4"/>
      <c r="CV148" s="4"/>
      <c r="CW148" s="4"/>
      <c r="CX148" s="4"/>
      <c r="CY148" s="4"/>
      <c r="CZ148" s="4"/>
      <c r="DA148" s="4"/>
      <c r="DB148" s="4"/>
      <c r="DC148" s="4"/>
      <c r="DD148" s="4"/>
      <c r="DE148" s="4"/>
      <c r="DF148" s="4"/>
      <c r="DG148" s="4"/>
      <c r="DH148" s="4"/>
      <c r="DI148" s="4"/>
      <c r="DJ148" s="4"/>
      <c r="DK148" s="4"/>
      <c r="DL148" s="4"/>
      <c r="DM148" s="4"/>
      <c r="DN148" s="4"/>
      <c r="DO148" s="4"/>
      <c r="DP148" s="4"/>
      <c r="DQ148" s="4"/>
      <c r="DR148" s="4"/>
      <c r="DS148" s="4"/>
      <c r="DT148" s="4"/>
      <c r="DU148" s="4"/>
      <c r="DV148" s="4"/>
      <c r="DW148" s="4"/>
      <c r="DX148" s="4"/>
      <c r="DY148" s="4"/>
      <c r="DZ148" s="4"/>
      <c r="EA148" s="4"/>
      <c r="EB148" s="4"/>
      <c r="EC148" s="4"/>
      <c r="ED148" s="4"/>
    </row>
    <row r="149" spans="2:134" ht="30" customHeight="1" thickBot="1" x14ac:dyDescent="0.35">
      <c r="B149" s="27" t="s">
        <v>178</v>
      </c>
      <c r="C149" s="12" t="s">
        <v>38</v>
      </c>
      <c r="D149" s="28"/>
      <c r="E149" s="47"/>
      <c r="F149" s="48"/>
      <c r="G149" s="29"/>
      <c r="H149" s="29" t="str">
        <f t="shared" si="74"/>
        <v/>
      </c>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c r="AP149" s="4"/>
      <c r="AQ149" s="4"/>
      <c r="AR149" s="4"/>
      <c r="AS149" s="4"/>
      <c r="AT149" s="4"/>
      <c r="AU149" s="4"/>
      <c r="AV149" s="4"/>
      <c r="AW149" s="4"/>
      <c r="AX149" s="4"/>
      <c r="AY149" s="4"/>
      <c r="AZ149" s="4"/>
      <c r="BA149" s="4"/>
      <c r="BB149" s="4"/>
      <c r="BC149" s="4"/>
      <c r="BD149" s="4"/>
      <c r="BE149" s="4"/>
      <c r="BF149" s="4"/>
      <c r="BG149" s="4"/>
      <c r="BH149" s="4"/>
      <c r="BI149" s="4"/>
      <c r="BJ149" s="4"/>
      <c r="BK149" s="4"/>
      <c r="BL149" s="4"/>
      <c r="BM149" s="4"/>
      <c r="BN149" s="4"/>
      <c r="BO149" s="4"/>
      <c r="BP149" s="4"/>
      <c r="BQ149" s="4"/>
      <c r="BR149" s="4"/>
      <c r="BS149" s="4"/>
      <c r="BT149" s="4"/>
      <c r="BU149" s="4"/>
      <c r="BV149" s="4"/>
      <c r="BW149" s="4"/>
      <c r="BX149" s="4"/>
      <c r="BY149" s="4"/>
      <c r="BZ149" s="4"/>
      <c r="CA149" s="4"/>
      <c r="CB149" s="4"/>
      <c r="CC149" s="4"/>
      <c r="CD149" s="4"/>
      <c r="CE149" s="4"/>
      <c r="CF149" s="4"/>
      <c r="CG149" s="4"/>
      <c r="CH149" s="4"/>
      <c r="CI149" s="4"/>
      <c r="CJ149" s="4"/>
      <c r="CK149" s="4"/>
      <c r="CL149" s="4"/>
      <c r="CM149" s="4"/>
      <c r="CN149" s="4"/>
      <c r="CO149" s="4"/>
      <c r="CP149" s="4"/>
      <c r="CQ149" s="4"/>
      <c r="CR149" s="4"/>
      <c r="CS149" s="4"/>
      <c r="CT149" s="4"/>
      <c r="CU149" s="4"/>
      <c r="CV149" s="4"/>
      <c r="CW149" s="4"/>
      <c r="CX149" s="4"/>
      <c r="CY149" s="4"/>
      <c r="CZ149" s="4"/>
      <c r="DA149" s="4"/>
      <c r="DB149" s="4"/>
      <c r="DC149" s="4"/>
      <c r="DD149" s="4"/>
      <c r="DE149" s="4"/>
      <c r="DF149" s="4"/>
      <c r="DG149" s="4"/>
      <c r="DH149" s="4"/>
      <c r="DI149" s="4"/>
      <c r="DJ149" s="4"/>
      <c r="DK149" s="4"/>
      <c r="DL149" s="4"/>
      <c r="DM149" s="4"/>
      <c r="DN149" s="4"/>
      <c r="DO149" s="4"/>
      <c r="DP149" s="4"/>
      <c r="DQ149" s="4"/>
      <c r="DR149" s="4"/>
      <c r="DS149" s="4"/>
      <c r="DT149" s="4"/>
      <c r="DU149" s="4"/>
      <c r="DV149" s="4"/>
      <c r="DW149" s="4"/>
      <c r="DX149" s="4"/>
      <c r="DY149" s="4"/>
      <c r="DZ149" s="4"/>
      <c r="EA149" s="4"/>
      <c r="EB149" s="4"/>
      <c r="EC149" s="4"/>
      <c r="ED149" s="4"/>
    </row>
    <row r="150" spans="2:134" ht="30" customHeight="1" thickBot="1" x14ac:dyDescent="0.35">
      <c r="B150" s="62" t="s">
        <v>180</v>
      </c>
      <c r="C150" s="13" t="s">
        <v>38</v>
      </c>
      <c r="D150" s="30">
        <v>0</v>
      </c>
      <c r="E150" s="49">
        <f>F147+3</f>
        <v>46377</v>
      </c>
      <c r="F150" s="49">
        <f>E150</f>
        <v>46377</v>
      </c>
      <c r="G150" s="29"/>
      <c r="H150" s="29">
        <f t="shared" si="74"/>
        <v>1</v>
      </c>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c r="AP150" s="4"/>
      <c r="AQ150" s="4"/>
      <c r="AR150" s="4"/>
      <c r="AS150" s="4"/>
      <c r="AT150" s="4"/>
      <c r="AU150" s="4"/>
      <c r="AV150" s="4"/>
      <c r="AW150" s="4"/>
      <c r="AX150" s="4"/>
      <c r="AY150" s="4"/>
      <c r="AZ150" s="4"/>
      <c r="BA150" s="4"/>
      <c r="BB150" s="4"/>
      <c r="BC150" s="4"/>
      <c r="BD150" s="4"/>
      <c r="BE150" s="4"/>
      <c r="BF150" s="4"/>
      <c r="BG150" s="4"/>
      <c r="BH150" s="4"/>
      <c r="BI150" s="4"/>
      <c r="BJ150" s="4"/>
      <c r="BK150" s="4"/>
      <c r="BL150" s="4"/>
      <c r="BM150" s="4"/>
      <c r="BN150" s="4"/>
      <c r="BO150" s="4"/>
      <c r="BP150" s="4"/>
      <c r="BQ150" s="4"/>
      <c r="BR150" s="4"/>
      <c r="BS150" s="4"/>
      <c r="BT150" s="4"/>
      <c r="BU150" s="4"/>
      <c r="BV150" s="4"/>
      <c r="BW150" s="4"/>
      <c r="BX150" s="4"/>
      <c r="BY150" s="4"/>
      <c r="BZ150" s="4"/>
      <c r="CA150" s="4"/>
      <c r="CB150" s="4"/>
      <c r="CC150" s="4"/>
      <c r="CD150" s="4"/>
      <c r="CE150" s="4"/>
      <c r="CF150" s="4"/>
      <c r="CG150" s="4"/>
      <c r="CH150" s="4"/>
      <c r="CI150" s="4"/>
      <c r="CJ150" s="4"/>
      <c r="CK150" s="4"/>
      <c r="CL150" s="4"/>
      <c r="CM150" s="4"/>
      <c r="CN150" s="4"/>
      <c r="CO150" s="4"/>
      <c r="CP150" s="4"/>
      <c r="CQ150" s="4"/>
      <c r="CR150" s="4"/>
      <c r="CS150" s="4"/>
      <c r="CT150" s="4"/>
      <c r="CU150" s="4"/>
      <c r="CV150" s="4"/>
      <c r="CW150" s="4"/>
      <c r="CX150" s="4"/>
      <c r="CY150" s="4"/>
      <c r="CZ150" s="4"/>
      <c r="DA150" s="4"/>
      <c r="DB150" s="4"/>
      <c r="DC150" s="4"/>
      <c r="DD150" s="4"/>
      <c r="DE150" s="4"/>
      <c r="DF150" s="4"/>
      <c r="DG150" s="4"/>
      <c r="DH150" s="4"/>
      <c r="DI150" s="4"/>
      <c r="DJ150" s="4"/>
      <c r="DK150" s="4"/>
      <c r="DL150" s="4"/>
      <c r="DM150" s="4"/>
      <c r="DN150" s="4"/>
      <c r="DO150" s="4"/>
      <c r="DP150" s="4"/>
      <c r="DQ150" s="4"/>
      <c r="DR150" s="4"/>
      <c r="DS150" s="4"/>
      <c r="DT150" s="4"/>
      <c r="DU150" s="4"/>
      <c r="DV150" s="4"/>
      <c r="DW150" s="4"/>
      <c r="DX150" s="4"/>
      <c r="DY150" s="4"/>
      <c r="DZ150" s="4"/>
      <c r="EA150" s="4"/>
      <c r="EB150" s="4"/>
      <c r="EC150" s="4"/>
      <c r="ED150" s="4"/>
    </row>
    <row r="151" spans="2:134" ht="30" customHeight="1" thickBot="1" x14ac:dyDescent="0.35">
      <c r="B151" s="62" t="s">
        <v>181</v>
      </c>
      <c r="C151" s="13" t="s">
        <v>38</v>
      </c>
      <c r="D151" s="30">
        <v>0</v>
      </c>
      <c r="E151" s="49">
        <f>F150</f>
        <v>46377</v>
      </c>
      <c r="F151" s="49">
        <f>E151</f>
        <v>46377</v>
      </c>
      <c r="G151" s="29"/>
      <c r="H151" s="29">
        <f t="shared" ref="H151:H214" si="75">IF(OR(ISBLANK(タスク_開始),ISBLANK(タスク_終了)),"",タスク_終了-タスク_開始+1)</f>
        <v>1</v>
      </c>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c r="AP151" s="4"/>
      <c r="AQ151" s="4"/>
      <c r="AR151" s="4"/>
      <c r="AS151" s="4"/>
      <c r="AT151" s="4"/>
      <c r="AU151" s="4"/>
      <c r="AV151" s="4"/>
      <c r="AW151" s="4"/>
      <c r="AX151" s="4"/>
      <c r="AY151" s="4"/>
      <c r="AZ151" s="4"/>
      <c r="BA151" s="4"/>
      <c r="BB151" s="4"/>
      <c r="BC151" s="4"/>
      <c r="BD151" s="4"/>
      <c r="BE151" s="4"/>
      <c r="BF151" s="4"/>
      <c r="BG151" s="4"/>
      <c r="BH151" s="4"/>
      <c r="BI151" s="4"/>
      <c r="BJ151" s="4"/>
      <c r="BK151" s="4"/>
      <c r="BL151" s="4"/>
      <c r="BM151" s="4"/>
      <c r="BN151" s="4"/>
      <c r="BO151" s="4"/>
      <c r="BP151" s="4"/>
      <c r="BQ151" s="4"/>
      <c r="BR151" s="4"/>
      <c r="BS151" s="4"/>
      <c r="BT151" s="4"/>
      <c r="BU151" s="4"/>
      <c r="BV151" s="4"/>
      <c r="BW151" s="4"/>
      <c r="BX151" s="4"/>
      <c r="BY151" s="4"/>
      <c r="BZ151" s="4"/>
      <c r="CA151" s="4"/>
      <c r="CB151" s="4"/>
      <c r="CC151" s="4"/>
      <c r="CD151" s="4"/>
      <c r="CE151" s="4"/>
      <c r="CF151" s="4"/>
      <c r="CG151" s="4"/>
      <c r="CH151" s="4"/>
      <c r="CI151" s="4"/>
      <c r="CJ151" s="4"/>
      <c r="CK151" s="4"/>
      <c r="CL151" s="4"/>
      <c r="CM151" s="4"/>
      <c r="CN151" s="4"/>
      <c r="CO151" s="4"/>
      <c r="CP151" s="4"/>
      <c r="CQ151" s="4"/>
      <c r="CR151" s="4"/>
      <c r="CS151" s="4"/>
      <c r="CT151" s="4"/>
      <c r="CU151" s="4"/>
      <c r="CV151" s="4"/>
      <c r="CW151" s="4"/>
      <c r="CX151" s="4"/>
      <c r="CY151" s="4"/>
      <c r="CZ151" s="4"/>
      <c r="DA151" s="4"/>
      <c r="DB151" s="4"/>
      <c r="DC151" s="4"/>
      <c r="DD151" s="4"/>
      <c r="DE151" s="4"/>
      <c r="DF151" s="4"/>
      <c r="DG151" s="4"/>
      <c r="DH151" s="4"/>
      <c r="DI151" s="4"/>
      <c r="DJ151" s="4"/>
      <c r="DK151" s="4"/>
      <c r="DL151" s="4"/>
      <c r="DM151" s="4"/>
      <c r="DN151" s="4"/>
      <c r="DO151" s="4"/>
      <c r="DP151" s="4"/>
      <c r="DQ151" s="4"/>
      <c r="DR151" s="4"/>
      <c r="DS151" s="4"/>
      <c r="DT151" s="4"/>
      <c r="DU151" s="4"/>
      <c r="DV151" s="4"/>
      <c r="DW151" s="4"/>
      <c r="DX151" s="4"/>
      <c r="DY151" s="4"/>
      <c r="DZ151" s="4"/>
      <c r="EA151" s="4"/>
      <c r="EB151" s="4"/>
      <c r="EC151" s="4"/>
      <c r="ED151" s="4"/>
    </row>
    <row r="152" spans="2:134" ht="30" customHeight="1" thickBot="1" x14ac:dyDescent="0.35">
      <c r="B152" s="62" t="s">
        <v>182</v>
      </c>
      <c r="C152" s="13" t="s">
        <v>38</v>
      </c>
      <c r="D152" s="30">
        <v>0</v>
      </c>
      <c r="E152" s="49">
        <f>F150+1</f>
        <v>46378</v>
      </c>
      <c r="F152" s="49">
        <f>E152</f>
        <v>46378</v>
      </c>
      <c r="G152" s="29"/>
      <c r="H152" s="29">
        <f t="shared" si="75"/>
        <v>1</v>
      </c>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c r="AP152" s="4"/>
      <c r="AQ152" s="4"/>
      <c r="AR152" s="4"/>
      <c r="AS152" s="4"/>
      <c r="AT152" s="4"/>
      <c r="AU152" s="4"/>
      <c r="AV152" s="4"/>
      <c r="AW152" s="4"/>
      <c r="AX152" s="4"/>
      <c r="AY152" s="4"/>
      <c r="AZ152" s="4"/>
      <c r="BA152" s="4"/>
      <c r="BB152" s="4"/>
      <c r="BC152" s="4"/>
      <c r="BD152" s="4"/>
      <c r="BE152" s="4"/>
      <c r="BF152" s="4"/>
      <c r="BG152" s="4"/>
      <c r="BH152" s="4"/>
      <c r="BI152" s="4"/>
      <c r="BJ152" s="4"/>
      <c r="BK152" s="4"/>
      <c r="BL152" s="4"/>
      <c r="BM152" s="4"/>
      <c r="BN152" s="4"/>
      <c r="BO152" s="4"/>
      <c r="BP152" s="4"/>
      <c r="BQ152" s="4"/>
      <c r="BR152" s="4"/>
      <c r="BS152" s="4"/>
      <c r="BT152" s="4"/>
      <c r="BU152" s="4"/>
      <c r="BV152" s="4"/>
      <c r="BW152" s="4"/>
      <c r="BX152" s="4"/>
      <c r="BY152" s="4"/>
      <c r="BZ152" s="4"/>
      <c r="CA152" s="4"/>
      <c r="CB152" s="4"/>
      <c r="CC152" s="4"/>
      <c r="CD152" s="4"/>
      <c r="CE152" s="4"/>
      <c r="CF152" s="4"/>
      <c r="CG152" s="4"/>
      <c r="CH152" s="4"/>
      <c r="CI152" s="4"/>
      <c r="CJ152" s="4"/>
      <c r="CK152" s="4"/>
      <c r="CL152" s="4"/>
      <c r="CM152" s="4"/>
      <c r="CN152" s="4"/>
      <c r="CO152" s="4"/>
      <c r="CP152" s="4"/>
      <c r="CQ152" s="4"/>
      <c r="CR152" s="4"/>
      <c r="CS152" s="4"/>
      <c r="CT152" s="4"/>
      <c r="CU152" s="4"/>
      <c r="CV152" s="4"/>
      <c r="CW152" s="4"/>
      <c r="CX152" s="4"/>
      <c r="CY152" s="4"/>
      <c r="CZ152" s="4"/>
      <c r="DA152" s="4"/>
      <c r="DB152" s="4"/>
      <c r="DC152" s="4"/>
      <c r="DD152" s="4"/>
      <c r="DE152" s="4"/>
      <c r="DF152" s="4"/>
      <c r="DG152" s="4"/>
      <c r="DH152" s="4"/>
      <c r="DI152" s="4"/>
      <c r="DJ152" s="4"/>
      <c r="DK152" s="4"/>
      <c r="DL152" s="4"/>
      <c r="DM152" s="4"/>
      <c r="DN152" s="4"/>
      <c r="DO152" s="4"/>
      <c r="DP152" s="4"/>
      <c r="DQ152" s="4"/>
      <c r="DR152" s="4"/>
      <c r="DS152" s="4"/>
      <c r="DT152" s="4"/>
      <c r="DU152" s="4"/>
      <c r="DV152" s="4"/>
      <c r="DW152" s="4"/>
      <c r="DX152" s="4"/>
      <c r="DY152" s="4"/>
      <c r="DZ152" s="4"/>
      <c r="EA152" s="4"/>
      <c r="EB152" s="4"/>
      <c r="EC152" s="4"/>
      <c r="ED152" s="4"/>
    </row>
    <row r="153" spans="2:134" ht="30" customHeight="1" thickBot="1" x14ac:dyDescent="0.35">
      <c r="B153" s="62" t="s">
        <v>88</v>
      </c>
      <c r="C153" s="13" t="s">
        <v>38</v>
      </c>
      <c r="D153" s="30">
        <v>0</v>
      </c>
      <c r="E153" s="49">
        <f>F152</f>
        <v>46378</v>
      </c>
      <c r="F153" s="49">
        <f>E153</f>
        <v>46378</v>
      </c>
      <c r="G153" s="29"/>
      <c r="H153" s="29">
        <f t="shared" si="75"/>
        <v>1</v>
      </c>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c r="AP153" s="4"/>
      <c r="AQ153" s="4"/>
      <c r="AR153" s="4"/>
      <c r="AS153" s="4"/>
      <c r="AT153" s="4"/>
      <c r="AU153" s="4"/>
      <c r="AV153" s="4"/>
      <c r="AW153" s="4"/>
      <c r="AX153" s="4"/>
      <c r="AY153" s="4"/>
      <c r="AZ153" s="4"/>
      <c r="BA153" s="4"/>
      <c r="BB153" s="4"/>
      <c r="BC153" s="4"/>
      <c r="BD153" s="4"/>
      <c r="BE153" s="4"/>
      <c r="BF153" s="4"/>
      <c r="BG153" s="4"/>
      <c r="BH153" s="4"/>
      <c r="BI153" s="4"/>
      <c r="BJ153" s="4"/>
      <c r="BK153" s="4"/>
      <c r="BL153" s="4"/>
      <c r="BM153" s="4"/>
      <c r="BN153" s="4"/>
      <c r="BO153" s="4"/>
      <c r="BP153" s="4"/>
      <c r="BQ153" s="4"/>
      <c r="BR153" s="4"/>
      <c r="BS153" s="4"/>
      <c r="BT153" s="4"/>
      <c r="BU153" s="4"/>
      <c r="BV153" s="4"/>
      <c r="BW153" s="4"/>
      <c r="BX153" s="4"/>
      <c r="BY153" s="4"/>
      <c r="BZ153" s="4"/>
      <c r="CA153" s="4"/>
      <c r="CB153" s="4"/>
      <c r="CC153" s="4"/>
      <c r="CD153" s="4"/>
      <c r="CE153" s="4"/>
      <c r="CF153" s="4"/>
      <c r="CG153" s="4"/>
      <c r="CH153" s="4"/>
      <c r="CI153" s="4"/>
      <c r="CJ153" s="4"/>
      <c r="CK153" s="4"/>
      <c r="CL153" s="4"/>
      <c r="CM153" s="4"/>
      <c r="CN153" s="4"/>
      <c r="CO153" s="4"/>
      <c r="CP153" s="4"/>
      <c r="CQ153" s="4"/>
      <c r="CR153" s="4"/>
      <c r="CS153" s="4"/>
      <c r="CT153" s="4"/>
      <c r="CU153" s="4"/>
      <c r="CV153" s="4"/>
      <c r="CW153" s="4"/>
      <c r="CX153" s="4"/>
      <c r="CY153" s="4"/>
      <c r="CZ153" s="4"/>
      <c r="DA153" s="4"/>
      <c r="DB153" s="4"/>
      <c r="DC153" s="4"/>
      <c r="DD153" s="4"/>
      <c r="DE153" s="4"/>
      <c r="DF153" s="4"/>
      <c r="DG153" s="4"/>
      <c r="DH153" s="4"/>
      <c r="DI153" s="4"/>
      <c r="DJ153" s="4"/>
      <c r="DK153" s="4"/>
      <c r="DL153" s="4"/>
      <c r="DM153" s="4"/>
      <c r="DN153" s="4"/>
      <c r="DO153" s="4"/>
      <c r="DP153" s="4"/>
      <c r="DQ153" s="4"/>
      <c r="DR153" s="4"/>
      <c r="DS153" s="4"/>
      <c r="DT153" s="4"/>
      <c r="DU153" s="4"/>
      <c r="DV153" s="4"/>
      <c r="DW153" s="4"/>
      <c r="DX153" s="4"/>
      <c r="DY153" s="4"/>
      <c r="DZ153" s="4"/>
      <c r="EA153" s="4"/>
      <c r="EB153" s="4"/>
      <c r="EC153" s="4"/>
      <c r="ED153" s="4"/>
    </row>
    <row r="154" spans="2:134" ht="30" customHeight="1" thickBot="1" x14ac:dyDescent="0.35">
      <c r="B154" s="62" t="s">
        <v>183</v>
      </c>
      <c r="C154" s="13" t="s">
        <v>38</v>
      </c>
      <c r="D154" s="30">
        <v>0</v>
      </c>
      <c r="E154" s="49">
        <f>F152</f>
        <v>46378</v>
      </c>
      <c r="F154" s="49">
        <f>E154</f>
        <v>46378</v>
      </c>
      <c r="G154" s="29"/>
      <c r="H154" s="29">
        <f t="shared" si="75"/>
        <v>1</v>
      </c>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c r="AP154" s="4"/>
      <c r="AQ154" s="4"/>
      <c r="AR154" s="4"/>
      <c r="AS154" s="4"/>
      <c r="AT154" s="4"/>
      <c r="AU154" s="4"/>
      <c r="AV154" s="4"/>
      <c r="AW154" s="4"/>
      <c r="AX154" s="4"/>
      <c r="AY154" s="4"/>
      <c r="AZ154" s="4"/>
      <c r="BA154" s="4"/>
      <c r="BB154" s="4"/>
      <c r="BC154" s="4"/>
      <c r="BD154" s="4"/>
      <c r="BE154" s="4"/>
      <c r="BF154" s="4"/>
      <c r="BG154" s="4"/>
      <c r="BH154" s="4"/>
      <c r="BI154" s="4"/>
      <c r="BJ154" s="4"/>
      <c r="BK154" s="4"/>
      <c r="BL154" s="4"/>
      <c r="BM154" s="4"/>
      <c r="BN154" s="4"/>
      <c r="BO154" s="4"/>
      <c r="BP154" s="4"/>
      <c r="BQ154" s="4"/>
      <c r="BR154" s="4"/>
      <c r="BS154" s="4"/>
      <c r="BT154" s="4"/>
      <c r="BU154" s="4"/>
      <c r="BV154" s="4"/>
      <c r="BW154" s="4"/>
      <c r="BX154" s="4"/>
      <c r="BY154" s="4"/>
      <c r="BZ154" s="4"/>
      <c r="CA154" s="4"/>
      <c r="CB154" s="4"/>
      <c r="CC154" s="4"/>
      <c r="CD154" s="4"/>
      <c r="CE154" s="4"/>
      <c r="CF154" s="4"/>
      <c r="CG154" s="4"/>
      <c r="CH154" s="4"/>
      <c r="CI154" s="4"/>
      <c r="CJ154" s="4"/>
      <c r="CK154" s="4"/>
      <c r="CL154" s="4"/>
      <c r="CM154" s="4"/>
      <c r="CN154" s="4"/>
      <c r="CO154" s="4"/>
      <c r="CP154" s="4"/>
      <c r="CQ154" s="4"/>
      <c r="CR154" s="4"/>
      <c r="CS154" s="4"/>
      <c r="CT154" s="4"/>
      <c r="CU154" s="4"/>
      <c r="CV154" s="4"/>
      <c r="CW154" s="4"/>
      <c r="CX154" s="4"/>
      <c r="CY154" s="4"/>
      <c r="CZ154" s="4"/>
      <c r="DA154" s="4"/>
      <c r="DB154" s="4"/>
      <c r="DC154" s="4"/>
      <c r="DD154" s="4"/>
      <c r="DE154" s="4"/>
      <c r="DF154" s="4"/>
      <c r="DG154" s="4"/>
      <c r="DH154" s="4"/>
      <c r="DI154" s="4"/>
      <c r="DJ154" s="4"/>
      <c r="DK154" s="4"/>
      <c r="DL154" s="4"/>
      <c r="DM154" s="4"/>
      <c r="DN154" s="4"/>
      <c r="DO154" s="4"/>
      <c r="DP154" s="4"/>
      <c r="DQ154" s="4"/>
      <c r="DR154" s="4"/>
      <c r="DS154" s="4"/>
      <c r="DT154" s="4"/>
      <c r="DU154" s="4"/>
      <c r="DV154" s="4"/>
      <c r="DW154" s="4"/>
      <c r="DX154" s="4"/>
      <c r="DY154" s="4"/>
      <c r="DZ154" s="4"/>
      <c r="EA154" s="4"/>
      <c r="EB154" s="4"/>
      <c r="EC154" s="4"/>
      <c r="ED154" s="4"/>
    </row>
    <row r="155" spans="2:134" ht="30" customHeight="1" thickBot="1" x14ac:dyDescent="0.35">
      <c r="B155" s="27" t="s">
        <v>179</v>
      </c>
      <c r="C155" s="12" t="s">
        <v>38</v>
      </c>
      <c r="D155" s="28"/>
      <c r="E155" s="47"/>
      <c r="F155" s="48"/>
      <c r="G155" s="29"/>
      <c r="H155" s="29" t="str">
        <f t="shared" si="75"/>
        <v/>
      </c>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c r="AP155" s="4"/>
      <c r="AQ155" s="4"/>
      <c r="AR155" s="4"/>
      <c r="AS155" s="4"/>
      <c r="AT155" s="4"/>
      <c r="AU155" s="4"/>
      <c r="AV155" s="4"/>
      <c r="AW155" s="4"/>
      <c r="AX155" s="4"/>
      <c r="AY155" s="4"/>
      <c r="AZ155" s="4"/>
      <c r="BA155" s="4"/>
      <c r="BB155" s="4"/>
      <c r="BC155" s="4"/>
      <c r="BD155" s="4"/>
      <c r="BE155" s="4"/>
      <c r="BF155" s="4"/>
      <c r="BG155" s="4"/>
      <c r="BH155" s="4"/>
      <c r="BI155" s="4"/>
      <c r="BJ155" s="4"/>
      <c r="BK155" s="4"/>
      <c r="BL155" s="4"/>
      <c r="BM155" s="4"/>
      <c r="BN155" s="4"/>
      <c r="BO155" s="4"/>
      <c r="BP155" s="4"/>
      <c r="BQ155" s="4"/>
      <c r="BR155" s="4"/>
      <c r="BS155" s="4"/>
      <c r="BT155" s="4"/>
      <c r="BU155" s="4"/>
      <c r="BV155" s="4"/>
      <c r="BW155" s="4"/>
      <c r="BX155" s="4"/>
      <c r="BY155" s="4"/>
      <c r="BZ155" s="4"/>
      <c r="CA155" s="4"/>
      <c r="CB155" s="4"/>
      <c r="CC155" s="4"/>
      <c r="CD155" s="4"/>
      <c r="CE155" s="4"/>
      <c r="CF155" s="4"/>
      <c r="CG155" s="4"/>
      <c r="CH155" s="4"/>
      <c r="CI155" s="4"/>
      <c r="CJ155" s="4"/>
      <c r="CK155" s="4"/>
      <c r="CL155" s="4"/>
      <c r="CM155" s="4"/>
      <c r="CN155" s="4"/>
      <c r="CO155" s="4"/>
      <c r="CP155" s="4"/>
      <c r="CQ155" s="4"/>
      <c r="CR155" s="4"/>
      <c r="CS155" s="4"/>
      <c r="CT155" s="4"/>
      <c r="CU155" s="4"/>
      <c r="CV155" s="4"/>
      <c r="CW155" s="4"/>
      <c r="CX155" s="4"/>
      <c r="CY155" s="4"/>
      <c r="CZ155" s="4"/>
      <c r="DA155" s="4"/>
      <c r="DB155" s="4"/>
      <c r="DC155" s="4"/>
      <c r="DD155" s="4"/>
      <c r="DE155" s="4"/>
      <c r="DF155" s="4"/>
      <c r="DG155" s="4"/>
      <c r="DH155" s="4"/>
      <c r="DI155" s="4"/>
      <c r="DJ155" s="4"/>
      <c r="DK155" s="4"/>
      <c r="DL155" s="4"/>
      <c r="DM155" s="4"/>
      <c r="DN155" s="4"/>
      <c r="DO155" s="4"/>
      <c r="DP155" s="4"/>
      <c r="DQ155" s="4"/>
      <c r="DR155" s="4"/>
      <c r="DS155" s="4"/>
      <c r="DT155" s="4"/>
      <c r="DU155" s="4"/>
      <c r="DV155" s="4"/>
      <c r="DW155" s="4"/>
      <c r="DX155" s="4"/>
      <c r="DY155" s="4"/>
      <c r="DZ155" s="4"/>
      <c r="EA155" s="4"/>
      <c r="EB155" s="4"/>
      <c r="EC155" s="4"/>
      <c r="ED155" s="4"/>
    </row>
    <row r="156" spans="2:134" ht="30" customHeight="1" thickBot="1" x14ac:dyDescent="0.35">
      <c r="B156" s="62" t="s">
        <v>180</v>
      </c>
      <c r="C156" s="13" t="s">
        <v>38</v>
      </c>
      <c r="D156" s="30">
        <v>0</v>
      </c>
      <c r="E156" s="49">
        <f>F154+1</f>
        <v>46379</v>
      </c>
      <c r="F156" s="49">
        <f>E156</f>
        <v>46379</v>
      </c>
      <c r="G156" s="29"/>
      <c r="H156" s="29">
        <f t="shared" si="75"/>
        <v>1</v>
      </c>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c r="AP156" s="4"/>
      <c r="AQ156" s="4"/>
      <c r="AR156" s="4"/>
      <c r="AS156" s="4"/>
      <c r="AT156" s="4"/>
      <c r="AU156" s="4"/>
      <c r="AV156" s="4"/>
      <c r="AW156" s="4"/>
      <c r="AX156" s="4"/>
      <c r="AY156" s="4"/>
      <c r="AZ156" s="4"/>
      <c r="BA156" s="4"/>
      <c r="BB156" s="4"/>
      <c r="BC156" s="4"/>
      <c r="BD156" s="4"/>
      <c r="BE156" s="4"/>
      <c r="BF156" s="4"/>
      <c r="BG156" s="4"/>
      <c r="BH156" s="4"/>
      <c r="BI156" s="4"/>
      <c r="BJ156" s="4"/>
      <c r="BK156" s="4"/>
      <c r="BL156" s="4"/>
      <c r="BM156" s="4"/>
      <c r="BN156" s="4"/>
      <c r="BO156" s="4"/>
      <c r="BP156" s="4"/>
      <c r="BQ156" s="4"/>
      <c r="BR156" s="4"/>
      <c r="BS156" s="4"/>
      <c r="BT156" s="4"/>
      <c r="BU156" s="4"/>
      <c r="BV156" s="4"/>
      <c r="BW156" s="4"/>
      <c r="BX156" s="4"/>
      <c r="BY156" s="4"/>
      <c r="BZ156" s="4"/>
      <c r="CA156" s="4"/>
      <c r="CB156" s="4"/>
      <c r="CC156" s="4"/>
      <c r="CD156" s="4"/>
      <c r="CE156" s="4"/>
      <c r="CF156" s="4"/>
      <c r="CG156" s="4"/>
      <c r="CH156" s="4"/>
      <c r="CI156" s="4"/>
      <c r="CJ156" s="4"/>
      <c r="CK156" s="4"/>
      <c r="CL156" s="4"/>
      <c r="CM156" s="4"/>
      <c r="CN156" s="4"/>
      <c r="CO156" s="4"/>
      <c r="CP156" s="4"/>
      <c r="CQ156" s="4"/>
      <c r="CR156" s="4"/>
      <c r="CS156" s="4"/>
      <c r="CT156" s="4"/>
      <c r="CU156" s="4"/>
      <c r="CV156" s="4"/>
      <c r="CW156" s="4"/>
      <c r="CX156" s="4"/>
      <c r="CY156" s="4"/>
      <c r="CZ156" s="4"/>
      <c r="DA156" s="4"/>
      <c r="DB156" s="4"/>
      <c r="DC156" s="4"/>
      <c r="DD156" s="4"/>
      <c r="DE156" s="4"/>
      <c r="DF156" s="4"/>
      <c r="DG156" s="4"/>
      <c r="DH156" s="4"/>
      <c r="DI156" s="4"/>
      <c r="DJ156" s="4"/>
      <c r="DK156" s="4"/>
      <c r="DL156" s="4"/>
      <c r="DM156" s="4"/>
      <c r="DN156" s="4"/>
      <c r="DO156" s="4"/>
      <c r="DP156" s="4"/>
      <c r="DQ156" s="4"/>
      <c r="DR156" s="4"/>
      <c r="DS156" s="4"/>
      <c r="DT156" s="4"/>
      <c r="DU156" s="4"/>
      <c r="DV156" s="4"/>
      <c r="DW156" s="4"/>
      <c r="DX156" s="4"/>
      <c r="DY156" s="4"/>
      <c r="DZ156" s="4"/>
      <c r="EA156" s="4"/>
      <c r="EB156" s="4"/>
      <c r="EC156" s="4"/>
      <c r="ED156" s="4"/>
    </row>
    <row r="157" spans="2:134" ht="30" customHeight="1" thickBot="1" x14ac:dyDescent="0.35">
      <c r="B157" s="62" t="s">
        <v>181</v>
      </c>
      <c r="C157" s="13" t="s">
        <v>38</v>
      </c>
      <c r="D157" s="30">
        <v>0</v>
      </c>
      <c r="E157" s="49">
        <f>F156</f>
        <v>46379</v>
      </c>
      <c r="F157" s="49">
        <f>E157</f>
        <v>46379</v>
      </c>
      <c r="G157" s="29"/>
      <c r="H157" s="29">
        <f t="shared" si="75"/>
        <v>1</v>
      </c>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c r="AP157" s="4"/>
      <c r="AQ157" s="4"/>
      <c r="AR157" s="4"/>
      <c r="AS157" s="4"/>
      <c r="AT157" s="4"/>
      <c r="AU157" s="4"/>
      <c r="AV157" s="4"/>
      <c r="AW157" s="4"/>
      <c r="AX157" s="4"/>
      <c r="AY157" s="4"/>
      <c r="AZ157" s="4"/>
      <c r="BA157" s="4"/>
      <c r="BB157" s="4"/>
      <c r="BC157" s="4"/>
      <c r="BD157" s="4"/>
      <c r="BE157" s="4"/>
      <c r="BF157" s="4"/>
      <c r="BG157" s="4"/>
      <c r="BH157" s="4"/>
      <c r="BI157" s="4"/>
      <c r="BJ157" s="4"/>
      <c r="BK157" s="4"/>
      <c r="BL157" s="4"/>
      <c r="BM157" s="4"/>
      <c r="BN157" s="4"/>
      <c r="BO157" s="4"/>
      <c r="BP157" s="4"/>
      <c r="BQ157" s="4"/>
      <c r="BR157" s="4"/>
      <c r="BS157" s="4"/>
      <c r="BT157" s="4"/>
      <c r="BU157" s="4"/>
      <c r="BV157" s="4"/>
      <c r="BW157" s="4"/>
      <c r="BX157" s="4"/>
      <c r="BY157" s="4"/>
      <c r="BZ157" s="4"/>
      <c r="CA157" s="4"/>
      <c r="CB157" s="4"/>
      <c r="CC157" s="4"/>
      <c r="CD157" s="4"/>
      <c r="CE157" s="4"/>
      <c r="CF157" s="4"/>
      <c r="CG157" s="4"/>
      <c r="CH157" s="4"/>
      <c r="CI157" s="4"/>
      <c r="CJ157" s="4"/>
      <c r="CK157" s="4"/>
      <c r="CL157" s="4"/>
      <c r="CM157" s="4"/>
      <c r="CN157" s="4"/>
      <c r="CO157" s="4"/>
      <c r="CP157" s="4"/>
      <c r="CQ157" s="4"/>
      <c r="CR157" s="4"/>
      <c r="CS157" s="4"/>
      <c r="CT157" s="4"/>
      <c r="CU157" s="4"/>
      <c r="CV157" s="4"/>
      <c r="CW157" s="4"/>
      <c r="CX157" s="4"/>
      <c r="CY157" s="4"/>
      <c r="CZ157" s="4"/>
      <c r="DA157" s="4"/>
      <c r="DB157" s="4"/>
      <c r="DC157" s="4"/>
      <c r="DD157" s="4"/>
      <c r="DE157" s="4"/>
      <c r="DF157" s="4"/>
      <c r="DG157" s="4"/>
      <c r="DH157" s="4"/>
      <c r="DI157" s="4"/>
      <c r="DJ157" s="4"/>
      <c r="DK157" s="4"/>
      <c r="DL157" s="4"/>
      <c r="DM157" s="4"/>
      <c r="DN157" s="4"/>
      <c r="DO157" s="4"/>
      <c r="DP157" s="4"/>
      <c r="DQ157" s="4"/>
      <c r="DR157" s="4"/>
      <c r="DS157" s="4"/>
      <c r="DT157" s="4"/>
      <c r="DU157" s="4"/>
      <c r="DV157" s="4"/>
      <c r="DW157" s="4"/>
      <c r="DX157" s="4"/>
      <c r="DY157" s="4"/>
      <c r="DZ157" s="4"/>
      <c r="EA157" s="4"/>
      <c r="EB157" s="4"/>
      <c r="EC157" s="4"/>
      <c r="ED157" s="4"/>
    </row>
    <row r="158" spans="2:134" ht="30" customHeight="1" thickBot="1" x14ac:dyDescent="0.35">
      <c r="B158" s="62" t="s">
        <v>182</v>
      </c>
      <c r="C158" s="13" t="s">
        <v>38</v>
      </c>
      <c r="D158" s="30">
        <v>0</v>
      </c>
      <c r="E158" s="49">
        <f>F156+1</f>
        <v>46380</v>
      </c>
      <c r="F158" s="49">
        <f>E158</f>
        <v>46380</v>
      </c>
      <c r="G158" s="29"/>
      <c r="H158" s="29">
        <f t="shared" si="75"/>
        <v>1</v>
      </c>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c r="AP158" s="4"/>
      <c r="AQ158" s="4"/>
      <c r="AR158" s="4"/>
      <c r="AS158" s="4"/>
      <c r="AT158" s="4"/>
      <c r="AU158" s="4"/>
      <c r="AV158" s="4"/>
      <c r="AW158" s="4"/>
      <c r="AX158" s="4"/>
      <c r="AY158" s="4"/>
      <c r="AZ158" s="4"/>
      <c r="BA158" s="4"/>
      <c r="BB158" s="4"/>
      <c r="BC158" s="4"/>
      <c r="BD158" s="4"/>
      <c r="BE158" s="4"/>
      <c r="BF158" s="4"/>
      <c r="BG158" s="4"/>
      <c r="BH158" s="4"/>
      <c r="BI158" s="4"/>
      <c r="BJ158" s="4"/>
      <c r="BK158" s="4"/>
      <c r="BL158" s="4"/>
      <c r="BM158" s="4"/>
      <c r="BN158" s="4"/>
      <c r="BO158" s="4"/>
      <c r="BP158" s="4"/>
      <c r="BQ158" s="4"/>
      <c r="BR158" s="4"/>
      <c r="BS158" s="4"/>
      <c r="BT158" s="4"/>
      <c r="BU158" s="4"/>
      <c r="BV158" s="4"/>
      <c r="BW158" s="4"/>
      <c r="BX158" s="4"/>
      <c r="BY158" s="4"/>
      <c r="BZ158" s="4"/>
      <c r="CA158" s="4"/>
      <c r="CB158" s="4"/>
      <c r="CC158" s="4"/>
      <c r="CD158" s="4"/>
      <c r="CE158" s="4"/>
      <c r="CF158" s="4"/>
      <c r="CG158" s="4"/>
      <c r="CH158" s="4"/>
      <c r="CI158" s="4"/>
      <c r="CJ158" s="4"/>
      <c r="CK158" s="4"/>
      <c r="CL158" s="4"/>
      <c r="CM158" s="4"/>
      <c r="CN158" s="4"/>
      <c r="CO158" s="4"/>
      <c r="CP158" s="4"/>
      <c r="CQ158" s="4"/>
      <c r="CR158" s="4"/>
      <c r="CS158" s="4"/>
      <c r="CT158" s="4"/>
      <c r="CU158" s="4"/>
      <c r="CV158" s="4"/>
      <c r="CW158" s="4"/>
      <c r="CX158" s="4"/>
      <c r="CY158" s="4"/>
      <c r="CZ158" s="4"/>
      <c r="DA158" s="4"/>
      <c r="DB158" s="4"/>
      <c r="DC158" s="4"/>
      <c r="DD158" s="4"/>
      <c r="DE158" s="4"/>
      <c r="DF158" s="4"/>
      <c r="DG158" s="4"/>
      <c r="DH158" s="4"/>
      <c r="DI158" s="4"/>
      <c r="DJ158" s="4"/>
      <c r="DK158" s="4"/>
      <c r="DL158" s="4"/>
      <c r="DM158" s="4"/>
      <c r="DN158" s="4"/>
      <c r="DO158" s="4"/>
      <c r="DP158" s="4"/>
      <c r="DQ158" s="4"/>
      <c r="DR158" s="4"/>
      <c r="DS158" s="4"/>
      <c r="DT158" s="4"/>
      <c r="DU158" s="4"/>
      <c r="DV158" s="4"/>
      <c r="DW158" s="4"/>
      <c r="DX158" s="4"/>
      <c r="DY158" s="4"/>
      <c r="DZ158" s="4"/>
      <c r="EA158" s="4"/>
      <c r="EB158" s="4"/>
      <c r="EC158" s="4"/>
      <c r="ED158" s="4"/>
    </row>
    <row r="159" spans="2:134" ht="30" customHeight="1" thickBot="1" x14ac:dyDescent="0.35">
      <c r="B159" s="62" t="s">
        <v>88</v>
      </c>
      <c r="C159" s="13" t="s">
        <v>38</v>
      </c>
      <c r="D159" s="30">
        <v>0</v>
      </c>
      <c r="E159" s="49">
        <f>F158</f>
        <v>46380</v>
      </c>
      <c r="F159" s="49">
        <f>E159</f>
        <v>46380</v>
      </c>
      <c r="G159" s="29"/>
      <c r="H159" s="29">
        <f t="shared" si="75"/>
        <v>1</v>
      </c>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c r="AP159" s="4"/>
      <c r="AQ159" s="4"/>
      <c r="AR159" s="4"/>
      <c r="AS159" s="4"/>
      <c r="AT159" s="4"/>
      <c r="AU159" s="4"/>
      <c r="AV159" s="4"/>
      <c r="AW159" s="4"/>
      <c r="AX159" s="4"/>
      <c r="AY159" s="4"/>
      <c r="AZ159" s="4"/>
      <c r="BA159" s="4"/>
      <c r="BB159" s="4"/>
      <c r="BC159" s="4"/>
      <c r="BD159" s="4"/>
      <c r="BE159" s="4"/>
      <c r="BF159" s="4"/>
      <c r="BG159" s="4"/>
      <c r="BH159" s="4"/>
      <c r="BI159" s="4"/>
      <c r="BJ159" s="4"/>
      <c r="BK159" s="4"/>
      <c r="BL159" s="4"/>
      <c r="BM159" s="4"/>
      <c r="BN159" s="4"/>
      <c r="BO159" s="4"/>
      <c r="BP159" s="4"/>
      <c r="BQ159" s="4"/>
      <c r="BR159" s="4"/>
      <c r="BS159" s="4"/>
      <c r="BT159" s="4"/>
      <c r="BU159" s="4"/>
      <c r="BV159" s="4"/>
      <c r="BW159" s="4"/>
      <c r="BX159" s="4"/>
      <c r="BY159" s="4"/>
      <c r="BZ159" s="4"/>
      <c r="CA159" s="4"/>
      <c r="CB159" s="4"/>
      <c r="CC159" s="4"/>
      <c r="CD159" s="4"/>
      <c r="CE159" s="4"/>
      <c r="CF159" s="4"/>
      <c r="CG159" s="4"/>
      <c r="CH159" s="4"/>
      <c r="CI159" s="4"/>
      <c r="CJ159" s="4"/>
      <c r="CK159" s="4"/>
      <c r="CL159" s="4"/>
      <c r="CM159" s="4"/>
      <c r="CN159" s="4"/>
      <c r="CO159" s="4"/>
      <c r="CP159" s="4"/>
      <c r="CQ159" s="4"/>
      <c r="CR159" s="4"/>
      <c r="CS159" s="4"/>
      <c r="CT159" s="4"/>
      <c r="CU159" s="4"/>
      <c r="CV159" s="4"/>
      <c r="CW159" s="4"/>
      <c r="CX159" s="4"/>
      <c r="CY159" s="4"/>
      <c r="CZ159" s="4"/>
      <c r="DA159" s="4"/>
      <c r="DB159" s="4"/>
      <c r="DC159" s="4"/>
      <c r="DD159" s="4"/>
      <c r="DE159" s="4"/>
      <c r="DF159" s="4"/>
      <c r="DG159" s="4"/>
      <c r="DH159" s="4"/>
      <c r="DI159" s="4"/>
      <c r="DJ159" s="4"/>
      <c r="DK159" s="4"/>
      <c r="DL159" s="4"/>
      <c r="DM159" s="4"/>
      <c r="DN159" s="4"/>
      <c r="DO159" s="4"/>
      <c r="DP159" s="4"/>
      <c r="DQ159" s="4"/>
      <c r="DR159" s="4"/>
      <c r="DS159" s="4"/>
      <c r="DT159" s="4"/>
      <c r="DU159" s="4"/>
      <c r="DV159" s="4"/>
      <c r="DW159" s="4"/>
      <c r="DX159" s="4"/>
      <c r="DY159" s="4"/>
      <c r="DZ159" s="4"/>
      <c r="EA159" s="4"/>
      <c r="EB159" s="4"/>
      <c r="EC159" s="4"/>
      <c r="ED159" s="4"/>
    </row>
    <row r="160" spans="2:134" ht="30" customHeight="1" thickBot="1" x14ac:dyDescent="0.35">
      <c r="B160" s="62" t="s">
        <v>184</v>
      </c>
      <c r="C160" s="13" t="s">
        <v>38</v>
      </c>
      <c r="D160" s="30">
        <v>0</v>
      </c>
      <c r="E160" s="49">
        <f>F159</f>
        <v>46380</v>
      </c>
      <c r="F160" s="49">
        <f>E160</f>
        <v>46380</v>
      </c>
      <c r="G160" s="29"/>
      <c r="H160" s="29">
        <f t="shared" si="75"/>
        <v>1</v>
      </c>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c r="AP160" s="4"/>
      <c r="AQ160" s="4"/>
      <c r="AR160" s="4"/>
      <c r="AS160" s="4"/>
      <c r="AT160" s="4"/>
      <c r="AU160" s="4"/>
      <c r="AV160" s="4"/>
      <c r="AW160" s="4"/>
      <c r="AX160" s="4"/>
      <c r="AY160" s="4"/>
      <c r="AZ160" s="4"/>
      <c r="BA160" s="4"/>
      <c r="BB160" s="4"/>
      <c r="BC160" s="4"/>
      <c r="BD160" s="4"/>
      <c r="BE160" s="4"/>
      <c r="BF160" s="4"/>
      <c r="BG160" s="4"/>
      <c r="BH160" s="4"/>
      <c r="BI160" s="4"/>
      <c r="BJ160" s="4"/>
      <c r="BK160" s="4"/>
      <c r="BL160" s="4"/>
      <c r="BM160" s="4"/>
      <c r="BN160" s="4"/>
      <c r="BO160" s="4"/>
      <c r="BP160" s="4"/>
      <c r="BQ160" s="4"/>
      <c r="BR160" s="4"/>
      <c r="BS160" s="4"/>
      <c r="BT160" s="4"/>
      <c r="BU160" s="4"/>
      <c r="BV160" s="4"/>
      <c r="BW160" s="4"/>
      <c r="BX160" s="4"/>
      <c r="BY160" s="4"/>
      <c r="BZ160" s="4"/>
      <c r="CA160" s="4"/>
      <c r="CB160" s="4"/>
      <c r="CC160" s="4"/>
      <c r="CD160" s="4"/>
      <c r="CE160" s="4"/>
      <c r="CF160" s="4"/>
      <c r="CG160" s="4"/>
      <c r="CH160" s="4"/>
      <c r="CI160" s="4"/>
      <c r="CJ160" s="4"/>
      <c r="CK160" s="4"/>
      <c r="CL160" s="4"/>
      <c r="CM160" s="4"/>
      <c r="CN160" s="4"/>
      <c r="CO160" s="4"/>
      <c r="CP160" s="4"/>
      <c r="CQ160" s="4"/>
      <c r="CR160" s="4"/>
      <c r="CS160" s="4"/>
      <c r="CT160" s="4"/>
      <c r="CU160" s="4"/>
      <c r="CV160" s="4"/>
      <c r="CW160" s="4"/>
      <c r="CX160" s="4"/>
      <c r="CY160" s="4"/>
      <c r="CZ160" s="4"/>
      <c r="DA160" s="4"/>
      <c r="DB160" s="4"/>
      <c r="DC160" s="4"/>
      <c r="DD160" s="4"/>
      <c r="DE160" s="4"/>
      <c r="DF160" s="4"/>
      <c r="DG160" s="4"/>
      <c r="DH160" s="4"/>
      <c r="DI160" s="4"/>
      <c r="DJ160" s="4"/>
      <c r="DK160" s="4"/>
      <c r="DL160" s="4"/>
      <c r="DM160" s="4"/>
      <c r="DN160" s="4"/>
      <c r="DO160" s="4"/>
      <c r="DP160" s="4"/>
      <c r="DQ160" s="4"/>
      <c r="DR160" s="4"/>
      <c r="DS160" s="4"/>
      <c r="DT160" s="4"/>
      <c r="DU160" s="4"/>
      <c r="DV160" s="4"/>
      <c r="DW160" s="4"/>
      <c r="DX160" s="4"/>
      <c r="DY160" s="4"/>
      <c r="DZ160" s="4"/>
      <c r="EA160" s="4"/>
      <c r="EB160" s="4"/>
      <c r="EC160" s="4"/>
      <c r="ED160" s="4"/>
    </row>
    <row r="161" spans="2:134" ht="30" customHeight="1" thickBot="1" x14ac:dyDescent="0.35">
      <c r="B161" s="27" t="s">
        <v>185</v>
      </c>
      <c r="C161" s="12" t="s">
        <v>38</v>
      </c>
      <c r="D161" s="28"/>
      <c r="E161" s="47"/>
      <c r="F161" s="48"/>
      <c r="G161" s="29"/>
      <c r="H161" s="29" t="str">
        <f t="shared" si="75"/>
        <v/>
      </c>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c r="AP161" s="4"/>
      <c r="AQ161" s="4"/>
      <c r="AR161" s="4"/>
      <c r="AS161" s="4"/>
      <c r="AT161" s="4"/>
      <c r="AU161" s="4"/>
      <c r="AV161" s="4"/>
      <c r="AW161" s="4"/>
      <c r="AX161" s="4"/>
      <c r="AY161" s="4"/>
      <c r="AZ161" s="4"/>
      <c r="BA161" s="4"/>
      <c r="BB161" s="4"/>
      <c r="BC161" s="4"/>
      <c r="BD161" s="4"/>
      <c r="BE161" s="4"/>
      <c r="BF161" s="4"/>
      <c r="BG161" s="4"/>
      <c r="BH161" s="4"/>
      <c r="BI161" s="4"/>
      <c r="BJ161" s="4"/>
      <c r="BK161" s="4"/>
      <c r="BL161" s="4"/>
      <c r="BM161" s="4"/>
      <c r="BN161" s="4"/>
      <c r="BO161" s="4"/>
      <c r="BP161" s="4"/>
      <c r="BQ161" s="4"/>
      <c r="BR161" s="4"/>
      <c r="BS161" s="4"/>
      <c r="BT161" s="4"/>
      <c r="BU161" s="4"/>
      <c r="BV161" s="4"/>
      <c r="BW161" s="4"/>
      <c r="BX161" s="4"/>
      <c r="BY161" s="4"/>
      <c r="BZ161" s="4"/>
      <c r="CA161" s="4"/>
      <c r="CB161" s="4"/>
      <c r="CC161" s="4"/>
      <c r="CD161" s="4"/>
      <c r="CE161" s="4"/>
      <c r="CF161" s="4"/>
      <c r="CG161" s="4"/>
      <c r="CH161" s="4"/>
      <c r="CI161" s="4"/>
      <c r="CJ161" s="4"/>
      <c r="CK161" s="4"/>
      <c r="CL161" s="4"/>
      <c r="CM161" s="4"/>
      <c r="CN161" s="4"/>
      <c r="CO161" s="4"/>
      <c r="CP161" s="4"/>
      <c r="CQ161" s="4"/>
      <c r="CR161" s="4"/>
      <c r="CS161" s="4"/>
      <c r="CT161" s="4"/>
      <c r="CU161" s="4"/>
      <c r="CV161" s="4"/>
      <c r="CW161" s="4"/>
      <c r="CX161" s="4"/>
      <c r="CY161" s="4"/>
      <c r="CZ161" s="4"/>
      <c r="DA161" s="4"/>
      <c r="DB161" s="4"/>
      <c r="DC161" s="4"/>
      <c r="DD161" s="4"/>
      <c r="DE161" s="4"/>
      <c r="DF161" s="4"/>
      <c r="DG161" s="4"/>
      <c r="DH161" s="4"/>
      <c r="DI161" s="4"/>
      <c r="DJ161" s="4"/>
      <c r="DK161" s="4"/>
      <c r="DL161" s="4"/>
      <c r="DM161" s="4"/>
      <c r="DN161" s="4"/>
      <c r="DO161" s="4"/>
      <c r="DP161" s="4"/>
      <c r="DQ161" s="4"/>
      <c r="DR161" s="4"/>
      <c r="DS161" s="4"/>
      <c r="DT161" s="4"/>
      <c r="DU161" s="4"/>
      <c r="DV161" s="4"/>
      <c r="DW161" s="4"/>
      <c r="DX161" s="4"/>
      <c r="DY161" s="4"/>
      <c r="DZ161" s="4"/>
      <c r="EA161" s="4"/>
      <c r="EB161" s="4"/>
      <c r="EC161" s="4"/>
      <c r="ED161" s="4"/>
    </row>
    <row r="162" spans="2:134" ht="30" customHeight="1" thickBot="1" x14ac:dyDescent="0.35">
      <c r="B162" s="62" t="s">
        <v>180</v>
      </c>
      <c r="C162" s="13" t="s">
        <v>38</v>
      </c>
      <c r="D162" s="30">
        <v>0</v>
      </c>
      <c r="E162" s="49">
        <f>F160+1</f>
        <v>46381</v>
      </c>
      <c r="F162" s="49">
        <f>E162</f>
        <v>46381</v>
      </c>
      <c r="G162" s="29"/>
      <c r="H162" s="29">
        <f t="shared" si="75"/>
        <v>1</v>
      </c>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c r="AP162" s="4"/>
      <c r="AQ162" s="4"/>
      <c r="AR162" s="4"/>
      <c r="AS162" s="4"/>
      <c r="AT162" s="4"/>
      <c r="AU162" s="4"/>
      <c r="AV162" s="4"/>
      <c r="AW162" s="4"/>
      <c r="AX162" s="4"/>
      <c r="AY162" s="4"/>
      <c r="AZ162" s="4"/>
      <c r="BA162" s="4"/>
      <c r="BB162" s="4"/>
      <c r="BC162" s="4"/>
      <c r="BD162" s="4"/>
      <c r="BE162" s="4"/>
      <c r="BF162" s="4"/>
      <c r="BG162" s="4"/>
      <c r="BH162" s="4"/>
      <c r="BI162" s="4"/>
      <c r="BJ162" s="4"/>
      <c r="BK162" s="4"/>
      <c r="BL162" s="4"/>
      <c r="BM162" s="4"/>
      <c r="BN162" s="4"/>
      <c r="BO162" s="4"/>
      <c r="BP162" s="4"/>
      <c r="BQ162" s="4"/>
      <c r="BR162" s="4"/>
      <c r="BS162" s="4"/>
      <c r="BT162" s="4"/>
      <c r="BU162" s="4"/>
      <c r="BV162" s="4"/>
      <c r="BW162" s="4"/>
      <c r="BX162" s="4"/>
      <c r="BY162" s="4"/>
      <c r="BZ162" s="4"/>
      <c r="CA162" s="4"/>
      <c r="CB162" s="4"/>
      <c r="CC162" s="4"/>
      <c r="CD162" s="4"/>
      <c r="CE162" s="4"/>
      <c r="CF162" s="4"/>
      <c r="CG162" s="4"/>
      <c r="CH162" s="4"/>
      <c r="CI162" s="4"/>
      <c r="CJ162" s="4"/>
      <c r="CK162" s="4"/>
      <c r="CL162" s="4"/>
      <c r="CM162" s="4"/>
      <c r="CN162" s="4"/>
      <c r="CO162" s="4"/>
      <c r="CP162" s="4"/>
      <c r="CQ162" s="4"/>
      <c r="CR162" s="4"/>
      <c r="CS162" s="4"/>
      <c r="CT162" s="4"/>
      <c r="CU162" s="4"/>
      <c r="CV162" s="4"/>
      <c r="CW162" s="4"/>
      <c r="CX162" s="4"/>
      <c r="CY162" s="4"/>
      <c r="CZ162" s="4"/>
      <c r="DA162" s="4"/>
      <c r="DB162" s="4"/>
      <c r="DC162" s="4"/>
      <c r="DD162" s="4"/>
      <c r="DE162" s="4"/>
      <c r="DF162" s="4"/>
      <c r="DG162" s="4"/>
      <c r="DH162" s="4"/>
      <c r="DI162" s="4"/>
      <c r="DJ162" s="4"/>
      <c r="DK162" s="4"/>
      <c r="DL162" s="4"/>
      <c r="DM162" s="4"/>
      <c r="DN162" s="4"/>
      <c r="DO162" s="4"/>
      <c r="DP162" s="4"/>
      <c r="DQ162" s="4"/>
      <c r="DR162" s="4"/>
      <c r="DS162" s="4"/>
      <c r="DT162" s="4"/>
      <c r="DU162" s="4"/>
      <c r="DV162" s="4"/>
      <c r="DW162" s="4"/>
      <c r="DX162" s="4"/>
      <c r="DY162" s="4"/>
      <c r="DZ162" s="4"/>
      <c r="EA162" s="4"/>
      <c r="EB162" s="4"/>
      <c r="EC162" s="4"/>
      <c r="ED162" s="4"/>
    </row>
    <row r="163" spans="2:134" ht="30" customHeight="1" thickBot="1" x14ac:dyDescent="0.35">
      <c r="B163" s="62" t="s">
        <v>181</v>
      </c>
      <c r="C163" s="13" t="s">
        <v>38</v>
      </c>
      <c r="D163" s="30">
        <v>0</v>
      </c>
      <c r="E163" s="49">
        <f>F162</f>
        <v>46381</v>
      </c>
      <c r="F163" s="49">
        <f>E163</f>
        <v>46381</v>
      </c>
      <c r="G163" s="29"/>
      <c r="H163" s="29">
        <f t="shared" si="75"/>
        <v>1</v>
      </c>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c r="AP163" s="4"/>
      <c r="AQ163" s="4"/>
      <c r="AR163" s="4"/>
      <c r="AS163" s="4"/>
      <c r="AT163" s="4"/>
      <c r="AU163" s="4"/>
      <c r="AV163" s="4"/>
      <c r="AW163" s="4"/>
      <c r="AX163" s="4"/>
      <c r="AY163" s="4"/>
      <c r="AZ163" s="4"/>
      <c r="BA163" s="4"/>
      <c r="BB163" s="4"/>
      <c r="BC163" s="4"/>
      <c r="BD163" s="4"/>
      <c r="BE163" s="4"/>
      <c r="BF163" s="4"/>
      <c r="BG163" s="4"/>
      <c r="BH163" s="4"/>
      <c r="BI163" s="4"/>
      <c r="BJ163" s="4"/>
      <c r="BK163" s="4"/>
      <c r="BL163" s="4"/>
      <c r="BM163" s="4"/>
      <c r="BN163" s="4"/>
      <c r="BO163" s="4"/>
      <c r="BP163" s="4"/>
      <c r="BQ163" s="4"/>
      <c r="BR163" s="4"/>
      <c r="BS163" s="4"/>
      <c r="BT163" s="4"/>
      <c r="BU163" s="4"/>
      <c r="BV163" s="4"/>
      <c r="BW163" s="4"/>
      <c r="BX163" s="4"/>
      <c r="BY163" s="4"/>
      <c r="BZ163" s="4"/>
      <c r="CA163" s="4"/>
      <c r="CB163" s="4"/>
      <c r="CC163" s="4"/>
      <c r="CD163" s="4"/>
      <c r="CE163" s="4"/>
      <c r="CF163" s="4"/>
      <c r="CG163" s="4"/>
      <c r="CH163" s="4"/>
      <c r="CI163" s="4"/>
      <c r="CJ163" s="4"/>
      <c r="CK163" s="4"/>
      <c r="CL163" s="4"/>
      <c r="CM163" s="4"/>
      <c r="CN163" s="4"/>
      <c r="CO163" s="4"/>
      <c r="CP163" s="4"/>
      <c r="CQ163" s="4"/>
      <c r="CR163" s="4"/>
      <c r="CS163" s="4"/>
      <c r="CT163" s="4"/>
      <c r="CU163" s="4"/>
      <c r="CV163" s="4"/>
      <c r="CW163" s="4"/>
      <c r="CX163" s="4"/>
      <c r="CY163" s="4"/>
      <c r="CZ163" s="4"/>
      <c r="DA163" s="4"/>
      <c r="DB163" s="4"/>
      <c r="DC163" s="4"/>
      <c r="DD163" s="4"/>
      <c r="DE163" s="4"/>
      <c r="DF163" s="4"/>
      <c r="DG163" s="4"/>
      <c r="DH163" s="4"/>
      <c r="DI163" s="4"/>
      <c r="DJ163" s="4"/>
      <c r="DK163" s="4"/>
      <c r="DL163" s="4"/>
      <c r="DM163" s="4"/>
      <c r="DN163" s="4"/>
      <c r="DO163" s="4"/>
      <c r="DP163" s="4"/>
      <c r="DQ163" s="4"/>
      <c r="DR163" s="4"/>
      <c r="DS163" s="4"/>
      <c r="DT163" s="4"/>
      <c r="DU163" s="4"/>
      <c r="DV163" s="4"/>
      <c r="DW163" s="4"/>
      <c r="DX163" s="4"/>
      <c r="DY163" s="4"/>
      <c r="DZ163" s="4"/>
      <c r="EA163" s="4"/>
      <c r="EB163" s="4"/>
      <c r="EC163" s="4"/>
      <c r="ED163" s="4"/>
    </row>
    <row r="164" spans="2:134" ht="30" customHeight="1" thickBot="1" x14ac:dyDescent="0.35">
      <c r="B164" s="62" t="s">
        <v>186</v>
      </c>
      <c r="C164" s="13" t="s">
        <v>38</v>
      </c>
      <c r="D164" s="30">
        <v>0</v>
      </c>
      <c r="E164" s="49">
        <f>F162+3</f>
        <v>46384</v>
      </c>
      <c r="F164" s="49">
        <f>E164+1</f>
        <v>46385</v>
      </c>
      <c r="G164" s="29"/>
      <c r="H164" s="29">
        <f t="shared" si="75"/>
        <v>2</v>
      </c>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c r="AP164" s="4"/>
      <c r="AQ164" s="4"/>
      <c r="AR164" s="4"/>
      <c r="AS164" s="4"/>
      <c r="AT164" s="4"/>
      <c r="AU164" s="4"/>
      <c r="AV164" s="4"/>
      <c r="AW164" s="4"/>
      <c r="AX164" s="4"/>
      <c r="AY164" s="4"/>
      <c r="AZ164" s="4"/>
      <c r="BA164" s="4"/>
      <c r="BB164" s="4"/>
      <c r="BC164" s="4"/>
      <c r="BD164" s="4"/>
      <c r="BE164" s="4"/>
      <c r="BF164" s="4"/>
      <c r="BG164" s="4"/>
      <c r="BH164" s="4"/>
      <c r="BI164" s="4"/>
      <c r="BJ164" s="4"/>
      <c r="BK164" s="4"/>
      <c r="BL164" s="4"/>
      <c r="BM164" s="4"/>
      <c r="BN164" s="4"/>
      <c r="BO164" s="4"/>
      <c r="BP164" s="4"/>
      <c r="BQ164" s="4"/>
      <c r="BR164" s="4"/>
      <c r="BS164" s="4"/>
      <c r="BT164" s="4"/>
      <c r="BU164" s="4"/>
      <c r="BV164" s="4"/>
      <c r="BW164" s="4"/>
      <c r="BX164" s="4"/>
      <c r="BY164" s="4"/>
      <c r="BZ164" s="4"/>
      <c r="CA164" s="4"/>
      <c r="CB164" s="4"/>
      <c r="CC164" s="4"/>
      <c r="CD164" s="4"/>
      <c r="CE164" s="4"/>
      <c r="CF164" s="4"/>
      <c r="CG164" s="4"/>
      <c r="CH164" s="4"/>
      <c r="CI164" s="4"/>
      <c r="CJ164" s="4"/>
      <c r="CK164" s="4"/>
      <c r="CL164" s="4"/>
      <c r="CM164" s="4"/>
      <c r="CN164" s="4"/>
      <c r="CO164" s="4"/>
      <c r="CP164" s="4"/>
      <c r="CQ164" s="4"/>
      <c r="CR164" s="4"/>
      <c r="CS164" s="4"/>
      <c r="CT164" s="4"/>
      <c r="CU164" s="4"/>
      <c r="CV164" s="4"/>
      <c r="CW164" s="4"/>
      <c r="CX164" s="4"/>
      <c r="CY164" s="4"/>
      <c r="CZ164" s="4"/>
      <c r="DA164" s="4"/>
      <c r="DB164" s="4"/>
      <c r="DC164" s="4"/>
      <c r="DD164" s="4"/>
      <c r="DE164" s="4"/>
      <c r="DF164" s="4"/>
      <c r="DG164" s="4"/>
      <c r="DH164" s="4"/>
      <c r="DI164" s="4"/>
      <c r="DJ164" s="4"/>
      <c r="DK164" s="4"/>
      <c r="DL164" s="4"/>
      <c r="DM164" s="4"/>
      <c r="DN164" s="4"/>
      <c r="DO164" s="4"/>
      <c r="DP164" s="4"/>
      <c r="DQ164" s="4"/>
      <c r="DR164" s="4"/>
      <c r="DS164" s="4"/>
      <c r="DT164" s="4"/>
      <c r="DU164" s="4"/>
      <c r="DV164" s="4"/>
      <c r="DW164" s="4"/>
      <c r="DX164" s="4"/>
      <c r="DY164" s="4"/>
      <c r="DZ164" s="4"/>
      <c r="EA164" s="4"/>
      <c r="EB164" s="4"/>
      <c r="EC164" s="4"/>
      <c r="ED164" s="4"/>
    </row>
    <row r="165" spans="2:134" ht="30" customHeight="1" thickBot="1" x14ac:dyDescent="0.35">
      <c r="B165" s="62" t="s">
        <v>88</v>
      </c>
      <c r="C165" s="13" t="s">
        <v>38</v>
      </c>
      <c r="D165" s="30">
        <v>0</v>
      </c>
      <c r="E165" s="49">
        <f>F164</f>
        <v>46385</v>
      </c>
      <c r="F165" s="49">
        <f>E165</f>
        <v>46385</v>
      </c>
      <c r="G165" s="29"/>
      <c r="H165" s="29">
        <f t="shared" si="75"/>
        <v>1</v>
      </c>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c r="AP165" s="4"/>
      <c r="AQ165" s="4"/>
      <c r="AR165" s="4"/>
      <c r="AS165" s="4"/>
      <c r="AT165" s="4"/>
      <c r="AU165" s="4"/>
      <c r="AV165" s="4"/>
      <c r="AW165" s="4"/>
      <c r="AX165" s="4"/>
      <c r="AY165" s="4"/>
      <c r="AZ165" s="4"/>
      <c r="BA165" s="4"/>
      <c r="BB165" s="4"/>
      <c r="BC165" s="4"/>
      <c r="BD165" s="4"/>
      <c r="BE165" s="4"/>
      <c r="BF165" s="4"/>
      <c r="BG165" s="4"/>
      <c r="BH165" s="4"/>
      <c r="BI165" s="4"/>
      <c r="BJ165" s="4"/>
      <c r="BK165" s="4"/>
      <c r="BL165" s="4"/>
      <c r="BM165" s="4"/>
      <c r="BN165" s="4"/>
      <c r="BO165" s="4"/>
      <c r="BP165" s="4"/>
      <c r="BQ165" s="4"/>
      <c r="BR165" s="4"/>
      <c r="BS165" s="4"/>
      <c r="BT165" s="4"/>
      <c r="BU165" s="4"/>
      <c r="BV165" s="4"/>
      <c r="BW165" s="4"/>
      <c r="BX165" s="4"/>
      <c r="BY165" s="4"/>
      <c r="BZ165" s="4"/>
      <c r="CA165" s="4"/>
      <c r="CB165" s="4"/>
      <c r="CC165" s="4"/>
      <c r="CD165" s="4"/>
      <c r="CE165" s="4"/>
      <c r="CF165" s="4"/>
      <c r="CG165" s="4"/>
      <c r="CH165" s="4"/>
      <c r="CI165" s="4"/>
      <c r="CJ165" s="4"/>
      <c r="CK165" s="4"/>
      <c r="CL165" s="4"/>
      <c r="CM165" s="4"/>
      <c r="CN165" s="4"/>
      <c r="CO165" s="4"/>
      <c r="CP165" s="4"/>
      <c r="CQ165" s="4"/>
      <c r="CR165" s="4"/>
      <c r="CS165" s="4"/>
      <c r="CT165" s="4"/>
      <c r="CU165" s="4"/>
      <c r="CV165" s="4"/>
      <c r="CW165" s="4"/>
      <c r="CX165" s="4"/>
      <c r="CY165" s="4"/>
      <c r="CZ165" s="4"/>
      <c r="DA165" s="4"/>
      <c r="DB165" s="4"/>
      <c r="DC165" s="4"/>
      <c r="DD165" s="4"/>
      <c r="DE165" s="4"/>
      <c r="DF165" s="4"/>
      <c r="DG165" s="4"/>
      <c r="DH165" s="4"/>
      <c r="DI165" s="4"/>
      <c r="DJ165" s="4"/>
      <c r="DK165" s="4"/>
      <c r="DL165" s="4"/>
      <c r="DM165" s="4"/>
      <c r="DN165" s="4"/>
      <c r="DO165" s="4"/>
      <c r="DP165" s="4"/>
      <c r="DQ165" s="4"/>
      <c r="DR165" s="4"/>
      <c r="DS165" s="4"/>
      <c r="DT165" s="4"/>
      <c r="DU165" s="4"/>
      <c r="DV165" s="4"/>
      <c r="DW165" s="4"/>
      <c r="DX165" s="4"/>
      <c r="DY165" s="4"/>
      <c r="DZ165" s="4"/>
      <c r="EA165" s="4"/>
      <c r="EB165" s="4"/>
      <c r="EC165" s="4"/>
      <c r="ED165" s="4"/>
    </row>
    <row r="166" spans="2:134" ht="30" customHeight="1" thickBot="1" x14ac:dyDescent="0.35">
      <c r="B166" s="62" t="s">
        <v>187</v>
      </c>
      <c r="C166" s="13" t="s">
        <v>38</v>
      </c>
      <c r="D166" s="30">
        <v>0</v>
      </c>
      <c r="E166" s="49">
        <f>F164</f>
        <v>46385</v>
      </c>
      <c r="F166" s="49">
        <f>E166</f>
        <v>46385</v>
      </c>
      <c r="G166" s="29"/>
      <c r="H166" s="29">
        <f t="shared" si="75"/>
        <v>1</v>
      </c>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c r="AP166" s="4"/>
      <c r="AQ166" s="4"/>
      <c r="AR166" s="4"/>
      <c r="AS166" s="4"/>
      <c r="AT166" s="4"/>
      <c r="AU166" s="4"/>
      <c r="AV166" s="4"/>
      <c r="AW166" s="4"/>
      <c r="AX166" s="4"/>
      <c r="AY166" s="4"/>
      <c r="AZ166" s="4"/>
      <c r="BA166" s="4"/>
      <c r="BB166" s="4"/>
      <c r="BC166" s="4"/>
      <c r="BD166" s="4"/>
      <c r="BE166" s="4"/>
      <c r="BF166" s="4"/>
      <c r="BG166" s="4"/>
      <c r="BH166" s="4"/>
      <c r="BI166" s="4"/>
      <c r="BJ166" s="4"/>
      <c r="BK166" s="4"/>
      <c r="BL166" s="4"/>
      <c r="BM166" s="4"/>
      <c r="BN166" s="4"/>
      <c r="BO166" s="4"/>
      <c r="BP166" s="4"/>
      <c r="BQ166" s="4"/>
      <c r="BR166" s="4"/>
      <c r="BS166" s="4"/>
      <c r="BT166" s="4"/>
      <c r="BU166" s="4"/>
      <c r="BV166" s="4"/>
      <c r="BW166" s="4"/>
      <c r="BX166" s="4"/>
      <c r="BY166" s="4"/>
      <c r="BZ166" s="4"/>
      <c r="CA166" s="4"/>
      <c r="CB166" s="4"/>
      <c r="CC166" s="4"/>
      <c r="CD166" s="4"/>
      <c r="CE166" s="4"/>
      <c r="CF166" s="4"/>
      <c r="CG166" s="4"/>
      <c r="CH166" s="4"/>
      <c r="CI166" s="4"/>
      <c r="CJ166" s="4"/>
      <c r="CK166" s="4"/>
      <c r="CL166" s="4"/>
      <c r="CM166" s="4"/>
      <c r="CN166" s="4"/>
      <c r="CO166" s="4"/>
      <c r="CP166" s="4"/>
      <c r="CQ166" s="4"/>
      <c r="CR166" s="4"/>
      <c r="CS166" s="4"/>
      <c r="CT166" s="4"/>
      <c r="CU166" s="4"/>
      <c r="CV166" s="4"/>
      <c r="CW166" s="4"/>
      <c r="CX166" s="4"/>
      <c r="CY166" s="4"/>
      <c r="CZ166" s="4"/>
      <c r="DA166" s="4"/>
      <c r="DB166" s="4"/>
      <c r="DC166" s="4"/>
      <c r="DD166" s="4"/>
      <c r="DE166" s="4"/>
      <c r="DF166" s="4"/>
      <c r="DG166" s="4"/>
      <c r="DH166" s="4"/>
      <c r="DI166" s="4"/>
      <c r="DJ166" s="4"/>
      <c r="DK166" s="4"/>
      <c r="DL166" s="4"/>
      <c r="DM166" s="4"/>
      <c r="DN166" s="4"/>
      <c r="DO166" s="4"/>
      <c r="DP166" s="4"/>
      <c r="DQ166" s="4"/>
      <c r="DR166" s="4"/>
      <c r="DS166" s="4"/>
      <c r="DT166" s="4"/>
      <c r="DU166" s="4"/>
      <c r="DV166" s="4"/>
      <c r="DW166" s="4"/>
      <c r="DX166" s="4"/>
      <c r="DY166" s="4"/>
      <c r="DZ166" s="4"/>
      <c r="EA166" s="4"/>
      <c r="EB166" s="4"/>
      <c r="EC166" s="4"/>
      <c r="ED166" s="4"/>
    </row>
    <row r="167" spans="2:134" ht="30" customHeight="1" thickBot="1" x14ac:dyDescent="0.35">
      <c r="B167" s="27" t="s">
        <v>188</v>
      </c>
      <c r="C167" s="12" t="s">
        <v>38</v>
      </c>
      <c r="D167" s="28"/>
      <c r="E167" s="47"/>
      <c r="F167" s="48"/>
      <c r="G167" s="29"/>
      <c r="H167" s="29" t="str">
        <f t="shared" si="75"/>
        <v/>
      </c>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c r="AP167" s="4"/>
      <c r="AQ167" s="4"/>
      <c r="AR167" s="4"/>
      <c r="AS167" s="4"/>
      <c r="AT167" s="4"/>
      <c r="AU167" s="4"/>
      <c r="AV167" s="4"/>
      <c r="AW167" s="4"/>
      <c r="AX167" s="4"/>
      <c r="AY167" s="4"/>
      <c r="AZ167" s="4"/>
      <c r="BA167" s="4"/>
      <c r="BB167" s="4"/>
      <c r="BC167" s="4"/>
      <c r="BD167" s="4"/>
      <c r="BE167" s="4"/>
      <c r="BF167" s="4"/>
      <c r="BG167" s="4"/>
      <c r="BH167" s="4"/>
      <c r="BI167" s="4"/>
      <c r="BJ167" s="4"/>
      <c r="BK167" s="4"/>
      <c r="BL167" s="4"/>
      <c r="BM167" s="4"/>
      <c r="BN167" s="4"/>
      <c r="BO167" s="4"/>
      <c r="BP167" s="4"/>
      <c r="BQ167" s="4"/>
      <c r="BR167" s="4"/>
      <c r="BS167" s="4"/>
      <c r="BT167" s="4"/>
      <c r="BU167" s="4"/>
      <c r="BV167" s="4"/>
      <c r="BW167" s="4"/>
      <c r="BX167" s="4"/>
      <c r="BY167" s="4"/>
      <c r="BZ167" s="4"/>
      <c r="CA167" s="4"/>
      <c r="CB167" s="4"/>
      <c r="CC167" s="4"/>
      <c r="CD167" s="4"/>
      <c r="CE167" s="4"/>
      <c r="CF167" s="4"/>
      <c r="CG167" s="4"/>
      <c r="CH167" s="4"/>
      <c r="CI167" s="4"/>
      <c r="CJ167" s="4"/>
      <c r="CK167" s="4"/>
      <c r="CL167" s="4"/>
      <c r="CM167" s="4"/>
      <c r="CN167" s="4"/>
      <c r="CO167" s="4"/>
      <c r="CP167" s="4"/>
      <c r="CQ167" s="4"/>
      <c r="CR167" s="4"/>
      <c r="CS167" s="4"/>
      <c r="CT167" s="4"/>
      <c r="CU167" s="4"/>
      <c r="CV167" s="4"/>
      <c r="CW167" s="4"/>
      <c r="CX167" s="4"/>
      <c r="CY167" s="4"/>
      <c r="CZ167" s="4"/>
      <c r="DA167" s="4"/>
      <c r="DB167" s="4"/>
      <c r="DC167" s="4"/>
      <c r="DD167" s="4"/>
      <c r="DE167" s="4"/>
      <c r="DF167" s="4"/>
      <c r="DG167" s="4"/>
      <c r="DH167" s="4"/>
      <c r="DI167" s="4"/>
      <c r="DJ167" s="4"/>
      <c r="DK167" s="4"/>
      <c r="DL167" s="4"/>
      <c r="DM167" s="4"/>
      <c r="DN167" s="4"/>
      <c r="DO167" s="4"/>
      <c r="DP167" s="4"/>
      <c r="DQ167" s="4"/>
      <c r="DR167" s="4"/>
      <c r="DS167" s="4"/>
      <c r="DT167" s="4"/>
      <c r="DU167" s="4"/>
      <c r="DV167" s="4"/>
      <c r="DW167" s="4"/>
      <c r="DX167" s="4"/>
      <c r="DY167" s="4"/>
      <c r="DZ167" s="4"/>
      <c r="EA167" s="4"/>
      <c r="EB167" s="4"/>
      <c r="EC167" s="4"/>
      <c r="ED167" s="4"/>
    </row>
    <row r="168" spans="2:134" ht="30" customHeight="1" thickBot="1" x14ac:dyDescent="0.35">
      <c r="B168" s="62" t="s">
        <v>180</v>
      </c>
      <c r="C168" s="13" t="s">
        <v>38</v>
      </c>
      <c r="D168" s="30">
        <v>0</v>
      </c>
      <c r="E168" s="49">
        <f>F166+1</f>
        <v>46386</v>
      </c>
      <c r="F168" s="49">
        <f>E168+1</f>
        <v>46387</v>
      </c>
      <c r="G168" s="29"/>
      <c r="H168" s="29">
        <f t="shared" si="75"/>
        <v>2</v>
      </c>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c r="AP168" s="4"/>
      <c r="AQ168" s="4"/>
      <c r="AR168" s="4"/>
      <c r="AS168" s="4"/>
      <c r="AT168" s="4"/>
      <c r="AU168" s="4"/>
      <c r="AV168" s="4"/>
      <c r="AW168" s="4"/>
      <c r="AX168" s="4"/>
      <c r="AY168" s="4"/>
      <c r="AZ168" s="4"/>
      <c r="BA168" s="4"/>
      <c r="BB168" s="4"/>
      <c r="BC168" s="4"/>
      <c r="BD168" s="4"/>
      <c r="BE168" s="4"/>
      <c r="BF168" s="4"/>
      <c r="BG168" s="4"/>
      <c r="BH168" s="4"/>
      <c r="BI168" s="4"/>
      <c r="BJ168" s="4"/>
      <c r="BK168" s="4"/>
      <c r="BL168" s="4"/>
      <c r="BM168" s="4"/>
      <c r="BN168" s="4"/>
      <c r="BO168" s="4"/>
      <c r="BP168" s="4"/>
      <c r="BQ168" s="4"/>
      <c r="BR168" s="4"/>
      <c r="BS168" s="4"/>
      <c r="BT168" s="4"/>
      <c r="BU168" s="4"/>
      <c r="BV168" s="4"/>
      <c r="BW168" s="4"/>
      <c r="BX168" s="4"/>
      <c r="BY168" s="4"/>
      <c r="BZ168" s="4"/>
      <c r="CA168" s="4"/>
      <c r="CB168" s="4"/>
      <c r="CC168" s="4"/>
      <c r="CD168" s="4"/>
      <c r="CE168" s="4"/>
      <c r="CF168" s="4"/>
      <c r="CG168" s="4"/>
      <c r="CH168" s="4"/>
      <c r="CI168" s="4"/>
      <c r="CJ168" s="4"/>
      <c r="CK168" s="4"/>
      <c r="CL168" s="4"/>
      <c r="CM168" s="4"/>
      <c r="CN168" s="4"/>
      <c r="CO168" s="4"/>
      <c r="CP168" s="4"/>
      <c r="CQ168" s="4"/>
      <c r="CR168" s="4"/>
      <c r="CS168" s="4"/>
      <c r="CT168" s="4"/>
      <c r="CU168" s="4"/>
      <c r="CV168" s="4"/>
      <c r="CW168" s="4"/>
      <c r="CX168" s="4"/>
      <c r="CY168" s="4"/>
      <c r="CZ168" s="4"/>
      <c r="DA168" s="4"/>
      <c r="DB168" s="4"/>
      <c r="DC168" s="4"/>
      <c r="DD168" s="4"/>
      <c r="DE168" s="4"/>
      <c r="DF168" s="4"/>
      <c r="DG168" s="4"/>
      <c r="DH168" s="4"/>
      <c r="DI168" s="4"/>
      <c r="DJ168" s="4"/>
      <c r="DK168" s="4"/>
      <c r="DL168" s="4"/>
      <c r="DM168" s="4"/>
      <c r="DN168" s="4"/>
      <c r="DO168" s="4"/>
      <c r="DP168" s="4"/>
      <c r="DQ168" s="4"/>
      <c r="DR168" s="4"/>
      <c r="DS168" s="4"/>
      <c r="DT168" s="4"/>
      <c r="DU168" s="4"/>
      <c r="DV168" s="4"/>
      <c r="DW168" s="4"/>
      <c r="DX168" s="4"/>
      <c r="DY168" s="4"/>
      <c r="DZ168" s="4"/>
      <c r="EA168" s="4"/>
      <c r="EB168" s="4"/>
      <c r="EC168" s="4"/>
      <c r="ED168" s="4"/>
    </row>
    <row r="169" spans="2:134" ht="30" customHeight="1" thickBot="1" x14ac:dyDescent="0.35">
      <c r="B169" s="62" t="s">
        <v>181</v>
      </c>
      <c r="C169" s="13" t="s">
        <v>38</v>
      </c>
      <c r="D169" s="30">
        <v>0</v>
      </c>
      <c r="E169" s="49">
        <f>F168</f>
        <v>46387</v>
      </c>
      <c r="F169" s="49">
        <f>E169</f>
        <v>46387</v>
      </c>
      <c r="G169" s="29"/>
      <c r="H169" s="29">
        <f t="shared" si="75"/>
        <v>1</v>
      </c>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c r="AP169" s="4"/>
      <c r="AQ169" s="4"/>
      <c r="AR169" s="4"/>
      <c r="AS169" s="4"/>
      <c r="AT169" s="4"/>
      <c r="AU169" s="4"/>
      <c r="AV169" s="4"/>
      <c r="AW169" s="4"/>
      <c r="AX169" s="4"/>
      <c r="AY169" s="4"/>
      <c r="AZ169" s="4"/>
      <c r="BA169" s="4"/>
      <c r="BB169" s="4"/>
      <c r="BC169" s="4"/>
      <c r="BD169" s="4"/>
      <c r="BE169" s="4"/>
      <c r="BF169" s="4"/>
      <c r="BG169" s="4"/>
      <c r="BH169" s="4"/>
      <c r="BI169" s="4"/>
      <c r="BJ169" s="4"/>
      <c r="BK169" s="4"/>
      <c r="BL169" s="4"/>
      <c r="BM169" s="4"/>
      <c r="BN169" s="4"/>
      <c r="BO169" s="4"/>
      <c r="BP169" s="4"/>
      <c r="BQ169" s="4"/>
      <c r="BR169" s="4"/>
      <c r="BS169" s="4"/>
      <c r="BT169" s="4"/>
      <c r="BU169" s="4"/>
      <c r="BV169" s="4"/>
      <c r="BW169" s="4"/>
      <c r="BX169" s="4"/>
      <c r="BY169" s="4"/>
      <c r="BZ169" s="4"/>
      <c r="CA169" s="4"/>
      <c r="CB169" s="4"/>
      <c r="CC169" s="4"/>
      <c r="CD169" s="4"/>
      <c r="CE169" s="4"/>
      <c r="CF169" s="4"/>
      <c r="CG169" s="4"/>
      <c r="CH169" s="4"/>
      <c r="CI169" s="4"/>
      <c r="CJ169" s="4"/>
      <c r="CK169" s="4"/>
      <c r="CL169" s="4"/>
      <c r="CM169" s="4"/>
      <c r="CN169" s="4"/>
      <c r="CO169" s="4"/>
      <c r="CP169" s="4"/>
      <c r="CQ169" s="4"/>
      <c r="CR169" s="4"/>
      <c r="CS169" s="4"/>
      <c r="CT169" s="4"/>
      <c r="CU169" s="4"/>
      <c r="CV169" s="4"/>
      <c r="CW169" s="4"/>
      <c r="CX169" s="4"/>
      <c r="CY169" s="4"/>
      <c r="CZ169" s="4"/>
      <c r="DA169" s="4"/>
      <c r="DB169" s="4"/>
      <c r="DC169" s="4"/>
      <c r="DD169" s="4"/>
      <c r="DE169" s="4"/>
      <c r="DF169" s="4"/>
      <c r="DG169" s="4"/>
      <c r="DH169" s="4"/>
      <c r="DI169" s="4"/>
      <c r="DJ169" s="4"/>
      <c r="DK169" s="4"/>
      <c r="DL169" s="4"/>
      <c r="DM169" s="4"/>
      <c r="DN169" s="4"/>
      <c r="DO169" s="4"/>
      <c r="DP169" s="4"/>
      <c r="DQ169" s="4"/>
      <c r="DR169" s="4"/>
      <c r="DS169" s="4"/>
      <c r="DT169" s="4"/>
      <c r="DU169" s="4"/>
      <c r="DV169" s="4"/>
      <c r="DW169" s="4"/>
      <c r="DX169" s="4"/>
      <c r="DY169" s="4"/>
      <c r="DZ169" s="4"/>
      <c r="EA169" s="4"/>
      <c r="EB169" s="4"/>
      <c r="EC169" s="4"/>
      <c r="ED169" s="4"/>
    </row>
    <row r="170" spans="2:134" ht="30" customHeight="1" thickBot="1" x14ac:dyDescent="0.35">
      <c r="B170" s="62" t="s">
        <v>186</v>
      </c>
      <c r="C170" s="13" t="s">
        <v>38</v>
      </c>
      <c r="D170" s="30">
        <v>0</v>
      </c>
      <c r="E170" s="49">
        <f>F168+1</f>
        <v>46388</v>
      </c>
      <c r="F170" s="49">
        <f>E170+3</f>
        <v>46391</v>
      </c>
      <c r="G170" s="29"/>
      <c r="H170" s="29">
        <f t="shared" si="75"/>
        <v>4</v>
      </c>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c r="AP170" s="4"/>
      <c r="AQ170" s="4"/>
      <c r="AR170" s="4"/>
      <c r="AS170" s="4"/>
      <c r="AT170" s="4"/>
      <c r="AU170" s="4"/>
      <c r="AV170" s="4"/>
      <c r="AW170" s="4"/>
      <c r="AX170" s="4"/>
      <c r="AY170" s="4"/>
      <c r="AZ170" s="4"/>
      <c r="BA170" s="4"/>
      <c r="BB170" s="4"/>
      <c r="BC170" s="4"/>
      <c r="BD170" s="4"/>
      <c r="BE170" s="4"/>
      <c r="BF170" s="4"/>
      <c r="BG170" s="4"/>
      <c r="BH170" s="4"/>
      <c r="BI170" s="4"/>
      <c r="BJ170" s="4"/>
      <c r="BK170" s="4"/>
      <c r="BL170" s="4"/>
      <c r="BM170" s="4"/>
      <c r="BN170" s="4"/>
      <c r="BO170" s="4"/>
      <c r="BP170" s="4"/>
      <c r="BQ170" s="4"/>
      <c r="BR170" s="4"/>
      <c r="BS170" s="4"/>
      <c r="BT170" s="4"/>
      <c r="BU170" s="4"/>
      <c r="BV170" s="4"/>
      <c r="BW170" s="4"/>
      <c r="BX170" s="4"/>
      <c r="BY170" s="4"/>
      <c r="BZ170" s="4"/>
      <c r="CA170" s="4"/>
      <c r="CB170" s="4"/>
      <c r="CC170" s="4"/>
      <c r="CD170" s="4"/>
      <c r="CE170" s="4"/>
      <c r="CF170" s="4"/>
      <c r="CG170" s="4"/>
      <c r="CH170" s="4"/>
      <c r="CI170" s="4"/>
      <c r="CJ170" s="4"/>
      <c r="CK170" s="4"/>
      <c r="CL170" s="4"/>
      <c r="CM170" s="4"/>
      <c r="CN170" s="4"/>
      <c r="CO170" s="4"/>
      <c r="CP170" s="4"/>
      <c r="CQ170" s="4"/>
      <c r="CR170" s="4"/>
      <c r="CS170" s="4"/>
      <c r="CT170" s="4"/>
      <c r="CU170" s="4"/>
      <c r="CV170" s="4"/>
      <c r="CW170" s="4"/>
      <c r="CX170" s="4"/>
      <c r="CY170" s="4"/>
      <c r="CZ170" s="4"/>
      <c r="DA170" s="4"/>
      <c r="DB170" s="4"/>
      <c r="DC170" s="4"/>
      <c r="DD170" s="4"/>
      <c r="DE170" s="4"/>
      <c r="DF170" s="4"/>
      <c r="DG170" s="4"/>
      <c r="DH170" s="4"/>
      <c r="DI170" s="4"/>
      <c r="DJ170" s="4"/>
      <c r="DK170" s="4"/>
      <c r="DL170" s="4"/>
      <c r="DM170" s="4"/>
      <c r="DN170" s="4"/>
      <c r="DO170" s="4"/>
      <c r="DP170" s="4"/>
      <c r="DQ170" s="4"/>
      <c r="DR170" s="4"/>
      <c r="DS170" s="4"/>
      <c r="DT170" s="4"/>
      <c r="DU170" s="4"/>
      <c r="DV170" s="4"/>
      <c r="DW170" s="4"/>
      <c r="DX170" s="4"/>
      <c r="DY170" s="4"/>
      <c r="DZ170" s="4"/>
      <c r="EA170" s="4"/>
      <c r="EB170" s="4"/>
      <c r="EC170" s="4"/>
      <c r="ED170" s="4"/>
    </row>
    <row r="171" spans="2:134" ht="30" customHeight="1" thickBot="1" x14ac:dyDescent="0.35">
      <c r="B171" s="62" t="s">
        <v>88</v>
      </c>
      <c r="C171" s="13" t="s">
        <v>38</v>
      </c>
      <c r="D171" s="30">
        <v>0</v>
      </c>
      <c r="E171" s="49">
        <f>F170</f>
        <v>46391</v>
      </c>
      <c r="F171" s="49">
        <f>E171</f>
        <v>46391</v>
      </c>
      <c r="G171" s="29"/>
      <c r="H171" s="29">
        <f t="shared" si="75"/>
        <v>1</v>
      </c>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c r="AP171" s="4"/>
      <c r="AQ171" s="4"/>
      <c r="AR171" s="4"/>
      <c r="AS171" s="4"/>
      <c r="AT171" s="4"/>
      <c r="AU171" s="4"/>
      <c r="AV171" s="4"/>
      <c r="AW171" s="4"/>
      <c r="AX171" s="4"/>
      <c r="AY171" s="4"/>
      <c r="AZ171" s="4"/>
      <c r="BA171" s="4"/>
      <c r="BB171" s="4"/>
      <c r="BC171" s="4"/>
      <c r="BD171" s="4"/>
      <c r="BE171" s="4"/>
      <c r="BF171" s="4"/>
      <c r="BG171" s="4"/>
      <c r="BH171" s="4"/>
      <c r="BI171" s="4"/>
      <c r="BJ171" s="4"/>
      <c r="BK171" s="4"/>
      <c r="BL171" s="4"/>
      <c r="BM171" s="4"/>
      <c r="BN171" s="4"/>
      <c r="BO171" s="4"/>
      <c r="BP171" s="4"/>
      <c r="BQ171" s="4"/>
      <c r="BR171" s="4"/>
      <c r="BS171" s="4"/>
      <c r="BT171" s="4"/>
      <c r="BU171" s="4"/>
      <c r="BV171" s="4"/>
      <c r="BW171" s="4"/>
      <c r="BX171" s="4"/>
      <c r="BY171" s="4"/>
      <c r="BZ171" s="4"/>
      <c r="CA171" s="4"/>
      <c r="CB171" s="4"/>
      <c r="CC171" s="4"/>
      <c r="CD171" s="4"/>
      <c r="CE171" s="4"/>
      <c r="CF171" s="4"/>
      <c r="CG171" s="4"/>
      <c r="CH171" s="4"/>
      <c r="CI171" s="4"/>
      <c r="CJ171" s="4"/>
      <c r="CK171" s="4"/>
      <c r="CL171" s="4"/>
      <c r="CM171" s="4"/>
      <c r="CN171" s="4"/>
      <c r="CO171" s="4"/>
      <c r="CP171" s="4"/>
      <c r="CQ171" s="4"/>
      <c r="CR171" s="4"/>
      <c r="CS171" s="4"/>
      <c r="CT171" s="4"/>
      <c r="CU171" s="4"/>
      <c r="CV171" s="4"/>
      <c r="CW171" s="4"/>
      <c r="CX171" s="4"/>
      <c r="CY171" s="4"/>
      <c r="CZ171" s="4"/>
      <c r="DA171" s="4"/>
      <c r="DB171" s="4"/>
      <c r="DC171" s="4"/>
      <c r="DD171" s="4"/>
      <c r="DE171" s="4"/>
      <c r="DF171" s="4"/>
      <c r="DG171" s="4"/>
      <c r="DH171" s="4"/>
      <c r="DI171" s="4"/>
      <c r="DJ171" s="4"/>
      <c r="DK171" s="4"/>
      <c r="DL171" s="4"/>
      <c r="DM171" s="4"/>
      <c r="DN171" s="4"/>
      <c r="DO171" s="4"/>
      <c r="DP171" s="4"/>
      <c r="DQ171" s="4"/>
      <c r="DR171" s="4"/>
      <c r="DS171" s="4"/>
      <c r="DT171" s="4"/>
      <c r="DU171" s="4"/>
      <c r="DV171" s="4"/>
      <c r="DW171" s="4"/>
      <c r="DX171" s="4"/>
      <c r="DY171" s="4"/>
      <c r="DZ171" s="4"/>
      <c r="EA171" s="4"/>
      <c r="EB171" s="4"/>
      <c r="EC171" s="4"/>
      <c r="ED171" s="4"/>
    </row>
    <row r="172" spans="2:134" ht="30" customHeight="1" thickBot="1" x14ac:dyDescent="0.35">
      <c r="B172" s="62" t="s">
        <v>189</v>
      </c>
      <c r="C172" s="13" t="s">
        <v>38</v>
      </c>
      <c r="D172" s="30">
        <v>0</v>
      </c>
      <c r="E172" s="49">
        <f>F170</f>
        <v>46391</v>
      </c>
      <c r="F172" s="49">
        <f>E172</f>
        <v>46391</v>
      </c>
      <c r="G172" s="29"/>
      <c r="H172" s="29">
        <f t="shared" si="75"/>
        <v>1</v>
      </c>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c r="AP172" s="4"/>
      <c r="AQ172" s="4"/>
      <c r="AR172" s="4"/>
      <c r="AS172" s="4"/>
      <c r="AT172" s="4"/>
      <c r="AU172" s="4"/>
      <c r="AV172" s="4"/>
      <c r="AW172" s="4"/>
      <c r="AX172" s="4"/>
      <c r="AY172" s="4"/>
      <c r="AZ172" s="4"/>
      <c r="BA172" s="4"/>
      <c r="BB172" s="4"/>
      <c r="BC172" s="4"/>
      <c r="BD172" s="4"/>
      <c r="BE172" s="4"/>
      <c r="BF172" s="4"/>
      <c r="BG172" s="4"/>
      <c r="BH172" s="4"/>
      <c r="BI172" s="4"/>
      <c r="BJ172" s="4"/>
      <c r="BK172" s="4"/>
      <c r="BL172" s="4"/>
      <c r="BM172" s="4"/>
      <c r="BN172" s="4"/>
      <c r="BO172" s="4"/>
      <c r="BP172" s="4"/>
      <c r="BQ172" s="4"/>
      <c r="BR172" s="4"/>
      <c r="BS172" s="4"/>
      <c r="BT172" s="4"/>
      <c r="BU172" s="4"/>
      <c r="BV172" s="4"/>
      <c r="BW172" s="4"/>
      <c r="BX172" s="4"/>
      <c r="BY172" s="4"/>
      <c r="BZ172" s="4"/>
      <c r="CA172" s="4"/>
      <c r="CB172" s="4"/>
      <c r="CC172" s="4"/>
      <c r="CD172" s="4"/>
      <c r="CE172" s="4"/>
      <c r="CF172" s="4"/>
      <c r="CG172" s="4"/>
      <c r="CH172" s="4"/>
      <c r="CI172" s="4"/>
      <c r="CJ172" s="4"/>
      <c r="CK172" s="4"/>
      <c r="CL172" s="4"/>
      <c r="CM172" s="4"/>
      <c r="CN172" s="4"/>
      <c r="CO172" s="4"/>
      <c r="CP172" s="4"/>
      <c r="CQ172" s="4"/>
      <c r="CR172" s="4"/>
      <c r="CS172" s="4"/>
      <c r="CT172" s="4"/>
      <c r="CU172" s="4"/>
      <c r="CV172" s="4"/>
      <c r="CW172" s="4"/>
      <c r="CX172" s="4"/>
      <c r="CY172" s="4"/>
      <c r="CZ172" s="4"/>
      <c r="DA172" s="4"/>
      <c r="DB172" s="4"/>
      <c r="DC172" s="4"/>
      <c r="DD172" s="4"/>
      <c r="DE172" s="4"/>
      <c r="DF172" s="4"/>
      <c r="DG172" s="4"/>
      <c r="DH172" s="4"/>
      <c r="DI172" s="4"/>
      <c r="DJ172" s="4"/>
      <c r="DK172" s="4"/>
      <c r="DL172" s="4"/>
      <c r="DM172" s="4"/>
      <c r="DN172" s="4"/>
      <c r="DO172" s="4"/>
      <c r="DP172" s="4"/>
      <c r="DQ172" s="4"/>
      <c r="DR172" s="4"/>
      <c r="DS172" s="4"/>
      <c r="DT172" s="4"/>
      <c r="DU172" s="4"/>
      <c r="DV172" s="4"/>
      <c r="DW172" s="4"/>
      <c r="DX172" s="4"/>
      <c r="DY172" s="4"/>
      <c r="DZ172" s="4"/>
      <c r="EA172" s="4"/>
      <c r="EB172" s="4"/>
      <c r="EC172" s="4"/>
      <c r="ED172" s="4"/>
    </row>
    <row r="173" spans="2:134" ht="30" customHeight="1" thickBot="1" x14ac:dyDescent="0.35">
      <c r="B173" s="57" t="s">
        <v>190</v>
      </c>
      <c r="C173" s="54" t="s">
        <v>38</v>
      </c>
      <c r="D173" s="55"/>
      <c r="E173" s="56"/>
      <c r="F173" s="56"/>
      <c r="G173" s="29"/>
      <c r="H173" s="29" t="str">
        <f t="shared" si="75"/>
        <v/>
      </c>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c r="AP173" s="4"/>
      <c r="AQ173" s="4"/>
      <c r="AR173" s="4"/>
      <c r="AS173" s="4"/>
      <c r="AT173" s="4"/>
      <c r="AU173" s="4"/>
      <c r="AV173" s="4"/>
      <c r="AW173" s="4"/>
      <c r="AX173" s="4"/>
      <c r="AY173" s="4"/>
      <c r="AZ173" s="4"/>
      <c r="BA173" s="4"/>
      <c r="BB173" s="4"/>
      <c r="BC173" s="4"/>
      <c r="BD173" s="4"/>
      <c r="BE173" s="4"/>
      <c r="BF173" s="4"/>
      <c r="BG173" s="4"/>
      <c r="BH173" s="4"/>
      <c r="BI173" s="4"/>
      <c r="BJ173" s="4"/>
      <c r="BK173" s="4"/>
      <c r="BL173" s="4"/>
      <c r="BM173" s="4"/>
      <c r="BN173" s="4"/>
      <c r="BO173" s="4"/>
      <c r="BP173" s="4"/>
      <c r="BQ173" s="4"/>
      <c r="BR173" s="4"/>
      <c r="BS173" s="4"/>
      <c r="BT173" s="4"/>
      <c r="BU173" s="4"/>
      <c r="BV173" s="4"/>
      <c r="BW173" s="4"/>
      <c r="BX173" s="4"/>
      <c r="BY173" s="4"/>
      <c r="BZ173" s="4"/>
      <c r="CA173" s="4"/>
      <c r="CB173" s="4"/>
      <c r="CC173" s="4"/>
      <c r="CD173" s="4"/>
      <c r="CE173" s="4"/>
      <c r="CF173" s="4"/>
      <c r="CG173" s="4"/>
      <c r="CH173" s="4"/>
      <c r="CI173" s="4"/>
      <c r="CJ173" s="4"/>
      <c r="CK173" s="4"/>
      <c r="CL173" s="4"/>
      <c r="CM173" s="4"/>
      <c r="CN173" s="4"/>
      <c r="CO173" s="4"/>
      <c r="CP173" s="4"/>
      <c r="CQ173" s="4"/>
      <c r="CR173" s="4"/>
      <c r="CS173" s="4"/>
      <c r="CT173" s="4"/>
      <c r="CU173" s="4"/>
      <c r="CV173" s="4"/>
      <c r="CW173" s="4"/>
      <c r="CX173" s="4"/>
      <c r="CY173" s="4"/>
      <c r="CZ173" s="4"/>
      <c r="DA173" s="4"/>
      <c r="DB173" s="4"/>
      <c r="DC173" s="4"/>
      <c r="DD173" s="4"/>
      <c r="DE173" s="4"/>
      <c r="DF173" s="4"/>
      <c r="DG173" s="4"/>
      <c r="DH173" s="4"/>
      <c r="DI173" s="4"/>
      <c r="DJ173" s="4"/>
      <c r="DK173" s="4"/>
      <c r="DL173" s="4"/>
      <c r="DM173" s="4"/>
      <c r="DN173" s="4"/>
      <c r="DO173" s="4"/>
      <c r="DP173" s="4"/>
      <c r="DQ173" s="4"/>
      <c r="DR173" s="4"/>
      <c r="DS173" s="4"/>
      <c r="DT173" s="4"/>
      <c r="DU173" s="4"/>
      <c r="DV173" s="4"/>
      <c r="DW173" s="4"/>
      <c r="DX173" s="4"/>
      <c r="DY173" s="4"/>
      <c r="DZ173" s="4"/>
      <c r="EA173" s="4"/>
      <c r="EB173" s="4"/>
      <c r="EC173" s="4"/>
      <c r="ED173" s="4"/>
    </row>
    <row r="174" spans="2:134" ht="30" customHeight="1" thickBot="1" x14ac:dyDescent="0.35">
      <c r="B174" s="27" t="s">
        <v>191</v>
      </c>
      <c r="C174" s="12" t="s">
        <v>38</v>
      </c>
      <c r="D174" s="28"/>
      <c r="E174" s="47"/>
      <c r="F174" s="48"/>
      <c r="G174" s="29"/>
      <c r="H174" s="29" t="str">
        <f t="shared" si="75"/>
        <v/>
      </c>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c r="AP174" s="4"/>
      <c r="AQ174" s="4"/>
      <c r="AR174" s="4"/>
      <c r="AS174" s="4"/>
      <c r="AT174" s="4"/>
      <c r="AU174" s="4"/>
      <c r="AV174" s="4"/>
      <c r="AW174" s="4"/>
      <c r="AX174" s="4"/>
      <c r="AY174" s="4"/>
      <c r="AZ174" s="4"/>
      <c r="BA174" s="4"/>
      <c r="BB174" s="4"/>
      <c r="BC174" s="4"/>
      <c r="BD174" s="4"/>
      <c r="BE174" s="4"/>
      <c r="BF174" s="4"/>
      <c r="BG174" s="4"/>
      <c r="BH174" s="4"/>
      <c r="BI174" s="4"/>
      <c r="BJ174" s="4"/>
      <c r="BK174" s="4"/>
      <c r="BL174" s="4"/>
      <c r="BM174" s="4"/>
      <c r="BN174" s="4"/>
      <c r="BO174" s="4"/>
      <c r="BP174" s="4"/>
      <c r="BQ174" s="4"/>
      <c r="BR174" s="4"/>
      <c r="BS174" s="4"/>
      <c r="BT174" s="4"/>
      <c r="BU174" s="4"/>
      <c r="BV174" s="4"/>
      <c r="BW174" s="4"/>
      <c r="BX174" s="4"/>
      <c r="BY174" s="4"/>
      <c r="BZ174" s="4"/>
      <c r="CA174" s="4"/>
      <c r="CB174" s="4"/>
      <c r="CC174" s="4"/>
      <c r="CD174" s="4"/>
      <c r="CE174" s="4"/>
      <c r="CF174" s="4"/>
      <c r="CG174" s="4"/>
      <c r="CH174" s="4"/>
      <c r="CI174" s="4"/>
      <c r="CJ174" s="4"/>
      <c r="CK174" s="4"/>
      <c r="CL174" s="4"/>
      <c r="CM174" s="4"/>
      <c r="CN174" s="4"/>
      <c r="CO174" s="4"/>
      <c r="CP174" s="4"/>
      <c r="CQ174" s="4"/>
      <c r="CR174" s="4"/>
      <c r="CS174" s="4"/>
      <c r="CT174" s="4"/>
      <c r="CU174" s="4"/>
      <c r="CV174" s="4"/>
      <c r="CW174" s="4"/>
      <c r="CX174" s="4"/>
      <c r="CY174" s="4"/>
      <c r="CZ174" s="4"/>
      <c r="DA174" s="4"/>
      <c r="DB174" s="4"/>
      <c r="DC174" s="4"/>
      <c r="DD174" s="4"/>
      <c r="DE174" s="4"/>
      <c r="DF174" s="4"/>
      <c r="DG174" s="4"/>
      <c r="DH174" s="4"/>
      <c r="DI174" s="4"/>
      <c r="DJ174" s="4"/>
      <c r="DK174" s="4"/>
      <c r="DL174" s="4"/>
      <c r="DM174" s="4"/>
      <c r="DN174" s="4"/>
      <c r="DO174" s="4"/>
      <c r="DP174" s="4"/>
      <c r="DQ174" s="4"/>
      <c r="DR174" s="4"/>
      <c r="DS174" s="4"/>
      <c r="DT174" s="4"/>
      <c r="DU174" s="4"/>
      <c r="DV174" s="4"/>
      <c r="DW174" s="4"/>
      <c r="DX174" s="4"/>
      <c r="DY174" s="4"/>
      <c r="DZ174" s="4"/>
      <c r="EA174" s="4"/>
      <c r="EB174" s="4"/>
      <c r="EC174" s="4"/>
      <c r="ED174" s="4"/>
    </row>
    <row r="175" spans="2:134" ht="30" customHeight="1" thickBot="1" x14ac:dyDescent="0.35">
      <c r="B175" s="62" t="s">
        <v>192</v>
      </c>
      <c r="C175" s="13" t="s">
        <v>38</v>
      </c>
      <c r="D175" s="30">
        <v>0</v>
      </c>
      <c r="E175" s="49">
        <f>F172+1</f>
        <v>46392</v>
      </c>
      <c r="F175" s="49">
        <f>E175+1</f>
        <v>46393</v>
      </c>
      <c r="G175" s="29"/>
      <c r="H175" s="29">
        <f t="shared" si="75"/>
        <v>2</v>
      </c>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c r="AP175" s="4"/>
      <c r="AQ175" s="4"/>
      <c r="AR175" s="4"/>
      <c r="AS175" s="4"/>
      <c r="AT175" s="4"/>
      <c r="AU175" s="4"/>
      <c r="AV175" s="4"/>
      <c r="AW175" s="4"/>
      <c r="AX175" s="4"/>
      <c r="AY175" s="4"/>
      <c r="AZ175" s="4"/>
      <c r="BA175" s="4"/>
      <c r="BB175" s="4"/>
      <c r="BC175" s="4"/>
      <c r="BD175" s="4"/>
      <c r="BE175" s="4"/>
      <c r="BF175" s="4"/>
      <c r="BG175" s="4"/>
      <c r="BH175" s="4"/>
      <c r="BI175" s="4"/>
      <c r="BJ175" s="4"/>
      <c r="BK175" s="4"/>
      <c r="BL175" s="4"/>
      <c r="BM175" s="4"/>
      <c r="BN175" s="4"/>
      <c r="BO175" s="4"/>
      <c r="BP175" s="4"/>
      <c r="BQ175" s="4"/>
      <c r="BR175" s="4"/>
      <c r="BS175" s="4"/>
      <c r="BT175" s="4"/>
      <c r="BU175" s="4"/>
      <c r="BV175" s="4"/>
      <c r="BW175" s="4"/>
      <c r="BX175" s="4"/>
      <c r="BY175" s="4"/>
      <c r="BZ175" s="4"/>
      <c r="CA175" s="4"/>
      <c r="CB175" s="4"/>
      <c r="CC175" s="4"/>
      <c r="CD175" s="4"/>
      <c r="CE175" s="4"/>
      <c r="CF175" s="4"/>
      <c r="CG175" s="4"/>
      <c r="CH175" s="4"/>
      <c r="CI175" s="4"/>
      <c r="CJ175" s="4"/>
      <c r="CK175" s="4"/>
      <c r="CL175" s="4"/>
      <c r="CM175" s="4"/>
      <c r="CN175" s="4"/>
      <c r="CO175" s="4"/>
      <c r="CP175" s="4"/>
      <c r="CQ175" s="4"/>
      <c r="CR175" s="4"/>
      <c r="CS175" s="4"/>
      <c r="CT175" s="4"/>
      <c r="CU175" s="4"/>
      <c r="CV175" s="4"/>
      <c r="CW175" s="4"/>
      <c r="CX175" s="4"/>
      <c r="CY175" s="4"/>
      <c r="CZ175" s="4"/>
      <c r="DA175" s="4"/>
      <c r="DB175" s="4"/>
      <c r="DC175" s="4"/>
      <c r="DD175" s="4"/>
      <c r="DE175" s="4"/>
      <c r="DF175" s="4"/>
      <c r="DG175" s="4"/>
      <c r="DH175" s="4"/>
      <c r="DI175" s="4"/>
      <c r="DJ175" s="4"/>
      <c r="DK175" s="4"/>
      <c r="DL175" s="4"/>
      <c r="DM175" s="4"/>
      <c r="DN175" s="4"/>
      <c r="DO175" s="4"/>
      <c r="DP175" s="4"/>
      <c r="DQ175" s="4"/>
      <c r="DR175" s="4"/>
      <c r="DS175" s="4"/>
      <c r="DT175" s="4"/>
      <c r="DU175" s="4"/>
      <c r="DV175" s="4"/>
      <c r="DW175" s="4"/>
      <c r="DX175" s="4"/>
      <c r="DY175" s="4"/>
      <c r="DZ175" s="4"/>
      <c r="EA175" s="4"/>
      <c r="EB175" s="4"/>
      <c r="EC175" s="4"/>
      <c r="ED175" s="4"/>
    </row>
    <row r="176" spans="2:134" ht="30" customHeight="1" thickBot="1" x14ac:dyDescent="0.35">
      <c r="B176" s="62" t="s">
        <v>193</v>
      </c>
      <c r="C176" s="13" t="s">
        <v>38</v>
      </c>
      <c r="D176" s="30">
        <v>0</v>
      </c>
      <c r="E176" s="49">
        <f>F175</f>
        <v>46393</v>
      </c>
      <c r="F176" s="49">
        <f>E176</f>
        <v>46393</v>
      </c>
      <c r="G176" s="29"/>
      <c r="H176" s="29">
        <f t="shared" si="75"/>
        <v>1</v>
      </c>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c r="AP176" s="4"/>
      <c r="AQ176" s="4"/>
      <c r="AR176" s="4"/>
      <c r="AS176" s="4"/>
      <c r="AT176" s="4"/>
      <c r="AU176" s="4"/>
      <c r="AV176" s="4"/>
      <c r="AW176" s="4"/>
      <c r="AX176" s="4"/>
      <c r="AY176" s="4"/>
      <c r="AZ176" s="4"/>
      <c r="BA176" s="4"/>
      <c r="BB176" s="4"/>
      <c r="BC176" s="4"/>
      <c r="BD176" s="4"/>
      <c r="BE176" s="4"/>
      <c r="BF176" s="4"/>
      <c r="BG176" s="4"/>
      <c r="BH176" s="4"/>
      <c r="BI176" s="4"/>
      <c r="BJ176" s="4"/>
      <c r="BK176" s="4"/>
      <c r="BL176" s="4"/>
      <c r="BM176" s="4"/>
      <c r="BN176" s="4"/>
      <c r="BO176" s="4"/>
      <c r="BP176" s="4"/>
      <c r="BQ176" s="4"/>
      <c r="BR176" s="4"/>
      <c r="BS176" s="4"/>
      <c r="BT176" s="4"/>
      <c r="BU176" s="4"/>
      <c r="BV176" s="4"/>
      <c r="BW176" s="4"/>
      <c r="BX176" s="4"/>
      <c r="BY176" s="4"/>
      <c r="BZ176" s="4"/>
      <c r="CA176" s="4"/>
      <c r="CB176" s="4"/>
      <c r="CC176" s="4"/>
      <c r="CD176" s="4"/>
      <c r="CE176" s="4"/>
      <c r="CF176" s="4"/>
      <c r="CG176" s="4"/>
      <c r="CH176" s="4"/>
      <c r="CI176" s="4"/>
      <c r="CJ176" s="4"/>
      <c r="CK176" s="4"/>
      <c r="CL176" s="4"/>
      <c r="CM176" s="4"/>
      <c r="CN176" s="4"/>
      <c r="CO176" s="4"/>
      <c r="CP176" s="4"/>
      <c r="CQ176" s="4"/>
      <c r="CR176" s="4"/>
      <c r="CS176" s="4"/>
      <c r="CT176" s="4"/>
      <c r="CU176" s="4"/>
      <c r="CV176" s="4"/>
      <c r="CW176" s="4"/>
      <c r="CX176" s="4"/>
      <c r="CY176" s="4"/>
      <c r="CZ176" s="4"/>
      <c r="DA176" s="4"/>
      <c r="DB176" s="4"/>
      <c r="DC176" s="4"/>
      <c r="DD176" s="4"/>
      <c r="DE176" s="4"/>
      <c r="DF176" s="4"/>
      <c r="DG176" s="4"/>
      <c r="DH176" s="4"/>
      <c r="DI176" s="4"/>
      <c r="DJ176" s="4"/>
      <c r="DK176" s="4"/>
      <c r="DL176" s="4"/>
      <c r="DM176" s="4"/>
      <c r="DN176" s="4"/>
      <c r="DO176" s="4"/>
      <c r="DP176" s="4"/>
      <c r="DQ176" s="4"/>
      <c r="DR176" s="4"/>
      <c r="DS176" s="4"/>
      <c r="DT176" s="4"/>
      <c r="DU176" s="4"/>
      <c r="DV176" s="4"/>
      <c r="DW176" s="4"/>
      <c r="DX176" s="4"/>
      <c r="DY176" s="4"/>
      <c r="DZ176" s="4"/>
      <c r="EA176" s="4"/>
      <c r="EB176" s="4"/>
      <c r="EC176" s="4"/>
      <c r="ED176" s="4"/>
    </row>
    <row r="177" spans="2:134" ht="30" customHeight="1" thickBot="1" x14ac:dyDescent="0.35">
      <c r="B177" s="27" t="s">
        <v>194</v>
      </c>
      <c r="C177" s="12" t="s">
        <v>38</v>
      </c>
      <c r="D177" s="28"/>
      <c r="E177" s="47"/>
      <c r="F177" s="48"/>
      <c r="G177" s="29"/>
      <c r="H177" s="29" t="str">
        <f t="shared" si="75"/>
        <v/>
      </c>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c r="AP177" s="4"/>
      <c r="AQ177" s="4"/>
      <c r="AR177" s="4"/>
      <c r="AS177" s="4"/>
      <c r="AT177" s="4"/>
      <c r="AU177" s="4"/>
      <c r="AV177" s="4"/>
      <c r="AW177" s="4"/>
      <c r="AX177" s="4"/>
      <c r="AY177" s="4"/>
      <c r="AZ177" s="4"/>
      <c r="BA177" s="4"/>
      <c r="BB177" s="4"/>
      <c r="BC177" s="4"/>
      <c r="BD177" s="4"/>
      <c r="BE177" s="4"/>
      <c r="BF177" s="4"/>
      <c r="BG177" s="4"/>
      <c r="BH177" s="4"/>
      <c r="BI177" s="4"/>
      <c r="BJ177" s="4"/>
      <c r="BK177" s="4"/>
      <c r="BL177" s="4"/>
      <c r="BM177" s="4"/>
      <c r="BN177" s="4"/>
      <c r="BO177" s="4"/>
      <c r="BP177" s="4"/>
      <c r="BQ177" s="4"/>
      <c r="BR177" s="4"/>
      <c r="BS177" s="4"/>
      <c r="BT177" s="4"/>
      <c r="BU177" s="4"/>
      <c r="BV177" s="4"/>
      <c r="BW177" s="4"/>
      <c r="BX177" s="4"/>
      <c r="BY177" s="4"/>
      <c r="BZ177" s="4"/>
      <c r="CA177" s="4"/>
      <c r="CB177" s="4"/>
      <c r="CC177" s="4"/>
      <c r="CD177" s="4"/>
      <c r="CE177" s="4"/>
      <c r="CF177" s="4"/>
      <c r="CG177" s="4"/>
      <c r="CH177" s="4"/>
      <c r="CI177" s="4"/>
      <c r="CJ177" s="4"/>
      <c r="CK177" s="4"/>
      <c r="CL177" s="4"/>
      <c r="CM177" s="4"/>
      <c r="CN177" s="4"/>
      <c r="CO177" s="4"/>
      <c r="CP177" s="4"/>
      <c r="CQ177" s="4"/>
      <c r="CR177" s="4"/>
      <c r="CS177" s="4"/>
      <c r="CT177" s="4"/>
      <c r="CU177" s="4"/>
      <c r="CV177" s="4"/>
      <c r="CW177" s="4"/>
      <c r="CX177" s="4"/>
      <c r="CY177" s="4"/>
      <c r="CZ177" s="4"/>
      <c r="DA177" s="4"/>
      <c r="DB177" s="4"/>
      <c r="DC177" s="4"/>
      <c r="DD177" s="4"/>
      <c r="DE177" s="4"/>
      <c r="DF177" s="4"/>
      <c r="DG177" s="4"/>
      <c r="DH177" s="4"/>
      <c r="DI177" s="4"/>
      <c r="DJ177" s="4"/>
      <c r="DK177" s="4"/>
      <c r="DL177" s="4"/>
      <c r="DM177" s="4"/>
      <c r="DN177" s="4"/>
      <c r="DO177" s="4"/>
      <c r="DP177" s="4"/>
      <c r="DQ177" s="4"/>
      <c r="DR177" s="4"/>
      <c r="DS177" s="4"/>
      <c r="DT177" s="4"/>
      <c r="DU177" s="4"/>
      <c r="DV177" s="4"/>
      <c r="DW177" s="4"/>
      <c r="DX177" s="4"/>
      <c r="DY177" s="4"/>
      <c r="DZ177" s="4"/>
      <c r="EA177" s="4"/>
      <c r="EB177" s="4"/>
      <c r="EC177" s="4"/>
      <c r="ED177" s="4"/>
    </row>
    <row r="178" spans="2:134" ht="30" customHeight="1" thickBot="1" x14ac:dyDescent="0.35">
      <c r="B178" s="62" t="s">
        <v>195</v>
      </c>
      <c r="C178" s="13" t="s">
        <v>38</v>
      </c>
      <c r="D178" s="30">
        <v>0</v>
      </c>
      <c r="E178" s="49">
        <f>F176</f>
        <v>46393</v>
      </c>
      <c r="F178" s="49">
        <f>E178</f>
        <v>46393</v>
      </c>
      <c r="G178" s="29"/>
      <c r="H178" s="29">
        <f t="shared" si="75"/>
        <v>1</v>
      </c>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c r="AP178" s="4"/>
      <c r="AQ178" s="4"/>
      <c r="AR178" s="4"/>
      <c r="AS178" s="4"/>
      <c r="AT178" s="4"/>
      <c r="AU178" s="4"/>
      <c r="AV178" s="4"/>
      <c r="AW178" s="4"/>
      <c r="AX178" s="4"/>
      <c r="AY178" s="4"/>
      <c r="AZ178" s="4"/>
      <c r="BA178" s="4"/>
      <c r="BB178" s="4"/>
      <c r="BC178" s="4"/>
      <c r="BD178" s="4"/>
      <c r="BE178" s="4"/>
      <c r="BF178" s="4"/>
      <c r="BG178" s="4"/>
      <c r="BH178" s="4"/>
      <c r="BI178" s="4"/>
      <c r="BJ178" s="4"/>
      <c r="BK178" s="4"/>
      <c r="BL178" s="4"/>
      <c r="BM178" s="4"/>
      <c r="BN178" s="4"/>
      <c r="BO178" s="4"/>
      <c r="BP178" s="4"/>
      <c r="BQ178" s="4"/>
      <c r="BR178" s="4"/>
      <c r="BS178" s="4"/>
      <c r="BT178" s="4"/>
      <c r="BU178" s="4"/>
      <c r="BV178" s="4"/>
      <c r="BW178" s="4"/>
      <c r="BX178" s="4"/>
      <c r="BY178" s="4"/>
      <c r="BZ178" s="4"/>
      <c r="CA178" s="4"/>
      <c r="CB178" s="4"/>
      <c r="CC178" s="4"/>
      <c r="CD178" s="4"/>
      <c r="CE178" s="4"/>
      <c r="CF178" s="4"/>
      <c r="CG178" s="4"/>
      <c r="CH178" s="4"/>
      <c r="CI178" s="4"/>
      <c r="CJ178" s="4"/>
      <c r="CK178" s="4"/>
      <c r="CL178" s="4"/>
      <c r="CM178" s="4"/>
      <c r="CN178" s="4"/>
      <c r="CO178" s="4"/>
      <c r="CP178" s="4"/>
      <c r="CQ178" s="4"/>
      <c r="CR178" s="4"/>
      <c r="CS178" s="4"/>
      <c r="CT178" s="4"/>
      <c r="CU178" s="4"/>
      <c r="CV178" s="4"/>
      <c r="CW178" s="4"/>
      <c r="CX178" s="4"/>
      <c r="CY178" s="4"/>
      <c r="CZ178" s="4"/>
      <c r="DA178" s="4"/>
      <c r="DB178" s="4"/>
      <c r="DC178" s="4"/>
      <c r="DD178" s="4"/>
      <c r="DE178" s="4"/>
      <c r="DF178" s="4"/>
      <c r="DG178" s="4"/>
      <c r="DH178" s="4"/>
      <c r="DI178" s="4"/>
      <c r="DJ178" s="4"/>
      <c r="DK178" s="4"/>
      <c r="DL178" s="4"/>
      <c r="DM178" s="4"/>
      <c r="DN178" s="4"/>
      <c r="DO178" s="4"/>
      <c r="DP178" s="4"/>
      <c r="DQ178" s="4"/>
      <c r="DR178" s="4"/>
      <c r="DS178" s="4"/>
      <c r="DT178" s="4"/>
      <c r="DU178" s="4"/>
      <c r="DV178" s="4"/>
      <c r="DW178" s="4"/>
      <c r="DX178" s="4"/>
      <c r="DY178" s="4"/>
      <c r="DZ178" s="4"/>
      <c r="EA178" s="4"/>
      <c r="EB178" s="4"/>
      <c r="EC178" s="4"/>
      <c r="ED178" s="4"/>
    </row>
    <row r="179" spans="2:134" ht="30" customHeight="1" thickBot="1" x14ac:dyDescent="0.35">
      <c r="B179" s="27" t="s">
        <v>196</v>
      </c>
      <c r="C179" s="12" t="s">
        <v>38</v>
      </c>
      <c r="D179" s="28"/>
      <c r="E179" s="47"/>
      <c r="F179" s="48"/>
      <c r="G179" s="29"/>
      <c r="H179" s="29" t="str">
        <f t="shared" si="75"/>
        <v/>
      </c>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c r="AP179" s="4"/>
      <c r="AQ179" s="4"/>
      <c r="AR179" s="4"/>
      <c r="AS179" s="4"/>
      <c r="AT179" s="4"/>
      <c r="AU179" s="4"/>
      <c r="AV179" s="4"/>
      <c r="AW179" s="4"/>
      <c r="AX179" s="4"/>
      <c r="AY179" s="4"/>
      <c r="AZ179" s="4"/>
      <c r="BA179" s="4"/>
      <c r="BB179" s="4"/>
      <c r="BC179" s="4"/>
      <c r="BD179" s="4"/>
      <c r="BE179" s="4"/>
      <c r="BF179" s="4"/>
      <c r="BG179" s="4"/>
      <c r="BH179" s="4"/>
      <c r="BI179" s="4"/>
      <c r="BJ179" s="4"/>
      <c r="BK179" s="4"/>
      <c r="BL179" s="4"/>
      <c r="BM179" s="4"/>
      <c r="BN179" s="4"/>
      <c r="BO179" s="4"/>
      <c r="BP179" s="4"/>
      <c r="BQ179" s="4"/>
      <c r="BR179" s="4"/>
      <c r="BS179" s="4"/>
      <c r="BT179" s="4"/>
      <c r="BU179" s="4"/>
      <c r="BV179" s="4"/>
      <c r="BW179" s="4"/>
      <c r="BX179" s="4"/>
      <c r="BY179" s="4"/>
      <c r="BZ179" s="4"/>
      <c r="CA179" s="4"/>
      <c r="CB179" s="4"/>
      <c r="CC179" s="4"/>
      <c r="CD179" s="4"/>
      <c r="CE179" s="4"/>
      <c r="CF179" s="4"/>
      <c r="CG179" s="4"/>
      <c r="CH179" s="4"/>
      <c r="CI179" s="4"/>
      <c r="CJ179" s="4"/>
      <c r="CK179" s="4"/>
      <c r="CL179" s="4"/>
      <c r="CM179" s="4"/>
      <c r="CN179" s="4"/>
      <c r="CO179" s="4"/>
      <c r="CP179" s="4"/>
      <c r="CQ179" s="4"/>
      <c r="CR179" s="4"/>
      <c r="CS179" s="4"/>
      <c r="CT179" s="4"/>
      <c r="CU179" s="4"/>
      <c r="CV179" s="4"/>
      <c r="CW179" s="4"/>
      <c r="CX179" s="4"/>
      <c r="CY179" s="4"/>
      <c r="CZ179" s="4"/>
      <c r="DA179" s="4"/>
      <c r="DB179" s="4"/>
      <c r="DC179" s="4"/>
      <c r="DD179" s="4"/>
      <c r="DE179" s="4"/>
      <c r="DF179" s="4"/>
      <c r="DG179" s="4"/>
      <c r="DH179" s="4"/>
      <c r="DI179" s="4"/>
      <c r="DJ179" s="4"/>
      <c r="DK179" s="4"/>
      <c r="DL179" s="4"/>
      <c r="DM179" s="4"/>
      <c r="DN179" s="4"/>
      <c r="DO179" s="4"/>
      <c r="DP179" s="4"/>
      <c r="DQ179" s="4"/>
      <c r="DR179" s="4"/>
      <c r="DS179" s="4"/>
      <c r="DT179" s="4"/>
      <c r="DU179" s="4"/>
      <c r="DV179" s="4"/>
      <c r="DW179" s="4"/>
      <c r="DX179" s="4"/>
      <c r="DY179" s="4"/>
      <c r="DZ179" s="4"/>
      <c r="EA179" s="4"/>
      <c r="EB179" s="4"/>
      <c r="EC179" s="4"/>
      <c r="ED179" s="4"/>
    </row>
    <row r="180" spans="2:134" ht="30" customHeight="1" thickBot="1" x14ac:dyDescent="0.35">
      <c r="B180" s="62" t="s">
        <v>197</v>
      </c>
      <c r="C180" s="13" t="s">
        <v>38</v>
      </c>
      <c r="D180" s="30">
        <v>0</v>
      </c>
      <c r="E180" s="49">
        <f>F178+1</f>
        <v>46394</v>
      </c>
      <c r="F180" s="49">
        <f>E180</f>
        <v>46394</v>
      </c>
      <c r="G180" s="29"/>
      <c r="H180" s="29">
        <f t="shared" si="75"/>
        <v>1</v>
      </c>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c r="AP180" s="4"/>
      <c r="AQ180" s="4"/>
      <c r="AR180" s="4"/>
      <c r="AS180" s="4"/>
      <c r="AT180" s="4"/>
      <c r="AU180" s="4"/>
      <c r="AV180" s="4"/>
      <c r="AW180" s="4"/>
      <c r="AX180" s="4"/>
      <c r="AY180" s="4"/>
      <c r="AZ180" s="4"/>
      <c r="BA180" s="4"/>
      <c r="BB180" s="4"/>
      <c r="BC180" s="4"/>
      <c r="BD180" s="4"/>
      <c r="BE180" s="4"/>
      <c r="BF180" s="4"/>
      <c r="BG180" s="4"/>
      <c r="BH180" s="4"/>
      <c r="BI180" s="4"/>
      <c r="BJ180" s="4"/>
      <c r="BK180" s="4"/>
      <c r="BL180" s="4"/>
      <c r="BM180" s="4"/>
      <c r="BN180" s="4"/>
      <c r="BO180" s="4"/>
      <c r="BP180" s="4"/>
      <c r="BQ180" s="4"/>
      <c r="BR180" s="4"/>
      <c r="BS180" s="4"/>
      <c r="BT180" s="4"/>
      <c r="BU180" s="4"/>
      <c r="BV180" s="4"/>
      <c r="BW180" s="4"/>
      <c r="BX180" s="4"/>
      <c r="BY180" s="4"/>
      <c r="BZ180" s="4"/>
      <c r="CA180" s="4"/>
      <c r="CB180" s="4"/>
      <c r="CC180" s="4"/>
      <c r="CD180" s="4"/>
      <c r="CE180" s="4"/>
      <c r="CF180" s="4"/>
      <c r="CG180" s="4"/>
      <c r="CH180" s="4"/>
      <c r="CI180" s="4"/>
      <c r="CJ180" s="4"/>
      <c r="CK180" s="4"/>
      <c r="CL180" s="4"/>
      <c r="CM180" s="4"/>
      <c r="CN180" s="4"/>
      <c r="CO180" s="4"/>
      <c r="CP180" s="4"/>
      <c r="CQ180" s="4"/>
      <c r="CR180" s="4"/>
      <c r="CS180" s="4"/>
      <c r="CT180" s="4"/>
      <c r="CU180" s="4"/>
      <c r="CV180" s="4"/>
      <c r="CW180" s="4"/>
      <c r="CX180" s="4"/>
      <c r="CY180" s="4"/>
      <c r="CZ180" s="4"/>
      <c r="DA180" s="4"/>
      <c r="DB180" s="4"/>
      <c r="DC180" s="4"/>
      <c r="DD180" s="4"/>
      <c r="DE180" s="4"/>
      <c r="DF180" s="4"/>
      <c r="DG180" s="4"/>
      <c r="DH180" s="4"/>
      <c r="DI180" s="4"/>
      <c r="DJ180" s="4"/>
      <c r="DK180" s="4"/>
      <c r="DL180" s="4"/>
      <c r="DM180" s="4"/>
      <c r="DN180" s="4"/>
      <c r="DO180" s="4"/>
      <c r="DP180" s="4"/>
      <c r="DQ180" s="4"/>
      <c r="DR180" s="4"/>
      <c r="DS180" s="4"/>
      <c r="DT180" s="4"/>
      <c r="DU180" s="4"/>
      <c r="DV180" s="4"/>
      <c r="DW180" s="4"/>
      <c r="DX180" s="4"/>
      <c r="DY180" s="4"/>
      <c r="DZ180" s="4"/>
      <c r="EA180" s="4"/>
      <c r="EB180" s="4"/>
      <c r="EC180" s="4"/>
      <c r="ED180" s="4"/>
    </row>
    <row r="181" spans="2:134" ht="30" customHeight="1" thickBot="1" x14ac:dyDescent="0.35">
      <c r="B181" s="62" t="s">
        <v>198</v>
      </c>
      <c r="C181" s="13" t="s">
        <v>38</v>
      </c>
      <c r="D181" s="30">
        <v>0</v>
      </c>
      <c r="E181" s="49">
        <f>F180</f>
        <v>46394</v>
      </c>
      <c r="F181" s="49">
        <f>E181</f>
        <v>46394</v>
      </c>
      <c r="G181" s="29"/>
      <c r="H181" s="29">
        <f t="shared" si="75"/>
        <v>1</v>
      </c>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c r="AP181" s="4"/>
      <c r="AQ181" s="4"/>
      <c r="AR181" s="4"/>
      <c r="AS181" s="4"/>
      <c r="AT181" s="4"/>
      <c r="AU181" s="4"/>
      <c r="AV181" s="4"/>
      <c r="AW181" s="4"/>
      <c r="AX181" s="4"/>
      <c r="AY181" s="4"/>
      <c r="AZ181" s="4"/>
      <c r="BA181" s="4"/>
      <c r="BB181" s="4"/>
      <c r="BC181" s="4"/>
      <c r="BD181" s="4"/>
      <c r="BE181" s="4"/>
      <c r="BF181" s="4"/>
      <c r="BG181" s="4"/>
      <c r="BH181" s="4"/>
      <c r="BI181" s="4"/>
      <c r="BJ181" s="4"/>
      <c r="BK181" s="4"/>
      <c r="BL181" s="4"/>
      <c r="BM181" s="4"/>
      <c r="BN181" s="4"/>
      <c r="BO181" s="4"/>
      <c r="BP181" s="4"/>
      <c r="BQ181" s="4"/>
      <c r="BR181" s="4"/>
      <c r="BS181" s="4"/>
      <c r="BT181" s="4"/>
      <c r="BU181" s="4"/>
      <c r="BV181" s="4"/>
      <c r="BW181" s="4"/>
      <c r="BX181" s="4"/>
      <c r="BY181" s="4"/>
      <c r="BZ181" s="4"/>
      <c r="CA181" s="4"/>
      <c r="CB181" s="4"/>
      <c r="CC181" s="4"/>
      <c r="CD181" s="4"/>
      <c r="CE181" s="4"/>
      <c r="CF181" s="4"/>
      <c r="CG181" s="4"/>
      <c r="CH181" s="4"/>
      <c r="CI181" s="4"/>
      <c r="CJ181" s="4"/>
      <c r="CK181" s="4"/>
      <c r="CL181" s="4"/>
      <c r="CM181" s="4"/>
      <c r="CN181" s="4"/>
      <c r="CO181" s="4"/>
      <c r="CP181" s="4"/>
      <c r="CQ181" s="4"/>
      <c r="CR181" s="4"/>
      <c r="CS181" s="4"/>
      <c r="CT181" s="4"/>
      <c r="CU181" s="4"/>
      <c r="CV181" s="4"/>
      <c r="CW181" s="4"/>
      <c r="CX181" s="4"/>
      <c r="CY181" s="4"/>
      <c r="CZ181" s="4"/>
      <c r="DA181" s="4"/>
      <c r="DB181" s="4"/>
      <c r="DC181" s="4"/>
      <c r="DD181" s="4"/>
      <c r="DE181" s="4"/>
      <c r="DF181" s="4"/>
      <c r="DG181" s="4"/>
      <c r="DH181" s="4"/>
      <c r="DI181" s="4"/>
      <c r="DJ181" s="4"/>
      <c r="DK181" s="4"/>
      <c r="DL181" s="4"/>
      <c r="DM181" s="4"/>
      <c r="DN181" s="4"/>
      <c r="DO181" s="4"/>
      <c r="DP181" s="4"/>
      <c r="DQ181" s="4"/>
      <c r="DR181" s="4"/>
      <c r="DS181" s="4"/>
      <c r="DT181" s="4"/>
      <c r="DU181" s="4"/>
      <c r="DV181" s="4"/>
      <c r="DW181" s="4"/>
      <c r="DX181" s="4"/>
      <c r="DY181" s="4"/>
      <c r="DZ181" s="4"/>
      <c r="EA181" s="4"/>
      <c r="EB181" s="4"/>
      <c r="EC181" s="4"/>
      <c r="ED181" s="4"/>
    </row>
    <row r="182" spans="2:134" ht="30" customHeight="1" thickBot="1" x14ac:dyDescent="0.35">
      <c r="B182" s="62" t="s">
        <v>199</v>
      </c>
      <c r="C182" s="13" t="s">
        <v>38</v>
      </c>
      <c r="D182" s="30">
        <v>0</v>
      </c>
      <c r="E182" s="49">
        <f>F180</f>
        <v>46394</v>
      </c>
      <c r="F182" s="49">
        <f>E182</f>
        <v>46394</v>
      </c>
      <c r="G182" s="29"/>
      <c r="H182" s="29">
        <f t="shared" si="75"/>
        <v>1</v>
      </c>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c r="AP182" s="4"/>
      <c r="AQ182" s="4"/>
      <c r="AR182" s="4"/>
      <c r="AS182" s="4"/>
      <c r="AT182" s="4"/>
      <c r="AU182" s="4"/>
      <c r="AV182" s="4"/>
      <c r="AW182" s="4"/>
      <c r="AX182" s="4"/>
      <c r="AY182" s="4"/>
      <c r="AZ182" s="4"/>
      <c r="BA182" s="4"/>
      <c r="BB182" s="4"/>
      <c r="BC182" s="4"/>
      <c r="BD182" s="4"/>
      <c r="BE182" s="4"/>
      <c r="BF182" s="4"/>
      <c r="BG182" s="4"/>
      <c r="BH182" s="4"/>
      <c r="BI182" s="4"/>
      <c r="BJ182" s="4"/>
      <c r="BK182" s="4"/>
      <c r="BL182" s="4"/>
      <c r="BM182" s="4"/>
      <c r="BN182" s="4"/>
      <c r="BO182" s="4"/>
      <c r="BP182" s="4"/>
      <c r="BQ182" s="4"/>
      <c r="BR182" s="4"/>
      <c r="BS182" s="4"/>
      <c r="BT182" s="4"/>
      <c r="BU182" s="4"/>
      <c r="BV182" s="4"/>
      <c r="BW182" s="4"/>
      <c r="BX182" s="4"/>
      <c r="BY182" s="4"/>
      <c r="BZ182" s="4"/>
      <c r="CA182" s="4"/>
      <c r="CB182" s="4"/>
      <c r="CC182" s="4"/>
      <c r="CD182" s="4"/>
      <c r="CE182" s="4"/>
      <c r="CF182" s="4"/>
      <c r="CG182" s="4"/>
      <c r="CH182" s="4"/>
      <c r="CI182" s="4"/>
      <c r="CJ182" s="4"/>
      <c r="CK182" s="4"/>
      <c r="CL182" s="4"/>
      <c r="CM182" s="4"/>
      <c r="CN182" s="4"/>
      <c r="CO182" s="4"/>
      <c r="CP182" s="4"/>
      <c r="CQ182" s="4"/>
      <c r="CR182" s="4"/>
      <c r="CS182" s="4"/>
      <c r="CT182" s="4"/>
      <c r="CU182" s="4"/>
      <c r="CV182" s="4"/>
      <c r="CW182" s="4"/>
      <c r="CX182" s="4"/>
      <c r="CY182" s="4"/>
      <c r="CZ182" s="4"/>
      <c r="DA182" s="4"/>
      <c r="DB182" s="4"/>
      <c r="DC182" s="4"/>
      <c r="DD182" s="4"/>
      <c r="DE182" s="4"/>
      <c r="DF182" s="4"/>
      <c r="DG182" s="4"/>
      <c r="DH182" s="4"/>
      <c r="DI182" s="4"/>
      <c r="DJ182" s="4"/>
      <c r="DK182" s="4"/>
      <c r="DL182" s="4"/>
      <c r="DM182" s="4"/>
      <c r="DN182" s="4"/>
      <c r="DO182" s="4"/>
      <c r="DP182" s="4"/>
      <c r="DQ182" s="4"/>
      <c r="DR182" s="4"/>
      <c r="DS182" s="4"/>
      <c r="DT182" s="4"/>
      <c r="DU182" s="4"/>
      <c r="DV182" s="4"/>
      <c r="DW182" s="4"/>
      <c r="DX182" s="4"/>
      <c r="DY182" s="4"/>
      <c r="DZ182" s="4"/>
      <c r="EA182" s="4"/>
      <c r="EB182" s="4"/>
      <c r="EC182" s="4"/>
      <c r="ED182" s="4"/>
    </row>
    <row r="183" spans="2:134" ht="30" customHeight="1" thickBot="1" x14ac:dyDescent="0.35">
      <c r="B183" s="27" t="s">
        <v>200</v>
      </c>
      <c r="C183" s="12" t="s">
        <v>38</v>
      </c>
      <c r="D183" s="28"/>
      <c r="E183" s="47"/>
      <c r="F183" s="48"/>
      <c r="G183" s="29"/>
      <c r="H183" s="29" t="str">
        <f t="shared" si="75"/>
        <v/>
      </c>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c r="AP183" s="4"/>
      <c r="AQ183" s="4"/>
      <c r="AR183" s="4"/>
      <c r="AS183" s="4"/>
      <c r="AT183" s="4"/>
      <c r="AU183" s="4"/>
      <c r="AV183" s="4"/>
      <c r="AW183" s="4"/>
      <c r="AX183" s="4"/>
      <c r="AY183" s="4"/>
      <c r="AZ183" s="4"/>
      <c r="BA183" s="4"/>
      <c r="BB183" s="4"/>
      <c r="BC183" s="4"/>
      <c r="BD183" s="4"/>
      <c r="BE183" s="4"/>
      <c r="BF183" s="4"/>
      <c r="BG183" s="4"/>
      <c r="BH183" s="4"/>
      <c r="BI183" s="4"/>
      <c r="BJ183" s="4"/>
      <c r="BK183" s="4"/>
      <c r="BL183" s="4"/>
      <c r="BM183" s="4"/>
      <c r="BN183" s="4"/>
      <c r="BO183" s="4"/>
      <c r="BP183" s="4"/>
      <c r="BQ183" s="4"/>
      <c r="BR183" s="4"/>
      <c r="BS183" s="4"/>
      <c r="BT183" s="4"/>
      <c r="BU183" s="4"/>
      <c r="BV183" s="4"/>
      <c r="BW183" s="4"/>
      <c r="BX183" s="4"/>
      <c r="BY183" s="4"/>
      <c r="BZ183" s="4"/>
      <c r="CA183" s="4"/>
      <c r="CB183" s="4"/>
      <c r="CC183" s="4"/>
      <c r="CD183" s="4"/>
      <c r="CE183" s="4"/>
      <c r="CF183" s="4"/>
      <c r="CG183" s="4"/>
      <c r="CH183" s="4"/>
      <c r="CI183" s="4"/>
      <c r="CJ183" s="4"/>
      <c r="CK183" s="4"/>
      <c r="CL183" s="4"/>
      <c r="CM183" s="4"/>
      <c r="CN183" s="4"/>
      <c r="CO183" s="4"/>
      <c r="CP183" s="4"/>
      <c r="CQ183" s="4"/>
      <c r="CR183" s="4"/>
      <c r="CS183" s="4"/>
      <c r="CT183" s="4"/>
      <c r="CU183" s="4"/>
      <c r="CV183" s="4"/>
      <c r="CW183" s="4"/>
      <c r="CX183" s="4"/>
      <c r="CY183" s="4"/>
      <c r="CZ183" s="4"/>
      <c r="DA183" s="4"/>
      <c r="DB183" s="4"/>
      <c r="DC183" s="4"/>
      <c r="DD183" s="4"/>
      <c r="DE183" s="4"/>
      <c r="DF183" s="4"/>
      <c r="DG183" s="4"/>
      <c r="DH183" s="4"/>
      <c r="DI183" s="4"/>
      <c r="DJ183" s="4"/>
      <c r="DK183" s="4"/>
      <c r="DL183" s="4"/>
      <c r="DM183" s="4"/>
      <c r="DN183" s="4"/>
      <c r="DO183" s="4"/>
      <c r="DP183" s="4"/>
      <c r="DQ183" s="4"/>
      <c r="DR183" s="4"/>
      <c r="DS183" s="4"/>
      <c r="DT183" s="4"/>
      <c r="DU183" s="4"/>
      <c r="DV183" s="4"/>
      <c r="DW183" s="4"/>
      <c r="DX183" s="4"/>
      <c r="DY183" s="4"/>
      <c r="DZ183" s="4"/>
      <c r="EA183" s="4"/>
      <c r="EB183" s="4"/>
      <c r="EC183" s="4"/>
      <c r="ED183" s="4"/>
    </row>
    <row r="184" spans="2:134" ht="30" customHeight="1" thickBot="1" x14ac:dyDescent="0.35">
      <c r="B184" s="62" t="s">
        <v>201</v>
      </c>
      <c r="C184" s="13" t="s">
        <v>38</v>
      </c>
      <c r="D184" s="30">
        <v>0</v>
      </c>
      <c r="E184" s="49">
        <f>F182+1</f>
        <v>46395</v>
      </c>
      <c r="F184" s="49">
        <f>E184</f>
        <v>46395</v>
      </c>
      <c r="G184" s="29"/>
      <c r="H184" s="29">
        <f t="shared" si="75"/>
        <v>1</v>
      </c>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c r="AP184" s="4"/>
      <c r="AQ184" s="4"/>
      <c r="AR184" s="4"/>
      <c r="AS184" s="4"/>
      <c r="AT184" s="4"/>
      <c r="AU184" s="4"/>
      <c r="AV184" s="4"/>
      <c r="AW184" s="4"/>
      <c r="AX184" s="4"/>
      <c r="AY184" s="4"/>
      <c r="AZ184" s="4"/>
      <c r="BA184" s="4"/>
      <c r="BB184" s="4"/>
      <c r="BC184" s="4"/>
      <c r="BD184" s="4"/>
      <c r="BE184" s="4"/>
      <c r="BF184" s="4"/>
      <c r="BG184" s="4"/>
      <c r="BH184" s="4"/>
      <c r="BI184" s="4"/>
      <c r="BJ184" s="4"/>
      <c r="BK184" s="4"/>
      <c r="BL184" s="4"/>
      <c r="BM184" s="4"/>
      <c r="BN184" s="4"/>
      <c r="BO184" s="4"/>
      <c r="BP184" s="4"/>
      <c r="BQ184" s="4"/>
      <c r="BR184" s="4"/>
      <c r="BS184" s="4"/>
      <c r="BT184" s="4"/>
      <c r="BU184" s="4"/>
      <c r="BV184" s="4"/>
      <c r="BW184" s="4"/>
      <c r="BX184" s="4"/>
      <c r="BY184" s="4"/>
      <c r="BZ184" s="4"/>
      <c r="CA184" s="4"/>
      <c r="CB184" s="4"/>
      <c r="CC184" s="4"/>
      <c r="CD184" s="4"/>
      <c r="CE184" s="4"/>
      <c r="CF184" s="4"/>
      <c r="CG184" s="4"/>
      <c r="CH184" s="4"/>
      <c r="CI184" s="4"/>
      <c r="CJ184" s="4"/>
      <c r="CK184" s="4"/>
      <c r="CL184" s="4"/>
      <c r="CM184" s="4"/>
      <c r="CN184" s="4"/>
      <c r="CO184" s="4"/>
      <c r="CP184" s="4"/>
      <c r="CQ184" s="4"/>
      <c r="CR184" s="4"/>
      <c r="CS184" s="4"/>
      <c r="CT184" s="4"/>
      <c r="CU184" s="4"/>
      <c r="CV184" s="4"/>
      <c r="CW184" s="4"/>
      <c r="CX184" s="4"/>
      <c r="CY184" s="4"/>
      <c r="CZ184" s="4"/>
      <c r="DA184" s="4"/>
      <c r="DB184" s="4"/>
      <c r="DC184" s="4"/>
      <c r="DD184" s="4"/>
      <c r="DE184" s="4"/>
      <c r="DF184" s="4"/>
      <c r="DG184" s="4"/>
      <c r="DH184" s="4"/>
      <c r="DI184" s="4"/>
      <c r="DJ184" s="4"/>
      <c r="DK184" s="4"/>
      <c r="DL184" s="4"/>
      <c r="DM184" s="4"/>
      <c r="DN184" s="4"/>
      <c r="DO184" s="4"/>
      <c r="DP184" s="4"/>
      <c r="DQ184" s="4"/>
      <c r="DR184" s="4"/>
      <c r="DS184" s="4"/>
      <c r="DT184" s="4"/>
      <c r="DU184" s="4"/>
      <c r="DV184" s="4"/>
      <c r="DW184" s="4"/>
      <c r="DX184" s="4"/>
      <c r="DY184" s="4"/>
      <c r="DZ184" s="4"/>
      <c r="EA184" s="4"/>
      <c r="EB184" s="4"/>
      <c r="EC184" s="4"/>
      <c r="ED184" s="4"/>
    </row>
    <row r="185" spans="2:134" ht="30" customHeight="1" thickBot="1" x14ac:dyDescent="0.35">
      <c r="B185" s="62" t="s">
        <v>202</v>
      </c>
      <c r="C185" s="13" t="s">
        <v>38</v>
      </c>
      <c r="D185" s="30">
        <v>0</v>
      </c>
      <c r="E185" s="49">
        <f>F184</f>
        <v>46395</v>
      </c>
      <c r="F185" s="49">
        <f>E185</f>
        <v>46395</v>
      </c>
      <c r="G185" s="29"/>
      <c r="H185" s="29">
        <f t="shared" si="75"/>
        <v>1</v>
      </c>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c r="AP185" s="4"/>
      <c r="AQ185" s="4"/>
      <c r="AR185" s="4"/>
      <c r="AS185" s="4"/>
      <c r="AT185" s="4"/>
      <c r="AU185" s="4"/>
      <c r="AV185" s="4"/>
      <c r="AW185" s="4"/>
      <c r="AX185" s="4"/>
      <c r="AY185" s="4"/>
      <c r="AZ185" s="4"/>
      <c r="BA185" s="4"/>
      <c r="BB185" s="4"/>
      <c r="BC185" s="4"/>
      <c r="BD185" s="4"/>
      <c r="BE185" s="4"/>
      <c r="BF185" s="4"/>
      <c r="BG185" s="4"/>
      <c r="BH185" s="4"/>
      <c r="BI185" s="4"/>
      <c r="BJ185" s="4"/>
      <c r="BK185" s="4"/>
      <c r="BL185" s="4"/>
      <c r="BM185" s="4"/>
      <c r="BN185" s="4"/>
      <c r="BO185" s="4"/>
      <c r="BP185" s="4"/>
      <c r="BQ185" s="4"/>
      <c r="BR185" s="4"/>
      <c r="BS185" s="4"/>
      <c r="BT185" s="4"/>
      <c r="BU185" s="4"/>
      <c r="BV185" s="4"/>
      <c r="BW185" s="4"/>
      <c r="BX185" s="4"/>
      <c r="BY185" s="4"/>
      <c r="BZ185" s="4"/>
      <c r="CA185" s="4"/>
      <c r="CB185" s="4"/>
      <c r="CC185" s="4"/>
      <c r="CD185" s="4"/>
      <c r="CE185" s="4"/>
      <c r="CF185" s="4"/>
      <c r="CG185" s="4"/>
      <c r="CH185" s="4"/>
      <c r="CI185" s="4"/>
      <c r="CJ185" s="4"/>
      <c r="CK185" s="4"/>
      <c r="CL185" s="4"/>
      <c r="CM185" s="4"/>
      <c r="CN185" s="4"/>
      <c r="CO185" s="4"/>
      <c r="CP185" s="4"/>
      <c r="CQ185" s="4"/>
      <c r="CR185" s="4"/>
      <c r="CS185" s="4"/>
      <c r="CT185" s="4"/>
      <c r="CU185" s="4"/>
      <c r="CV185" s="4"/>
      <c r="CW185" s="4"/>
      <c r="CX185" s="4"/>
      <c r="CY185" s="4"/>
      <c r="CZ185" s="4"/>
      <c r="DA185" s="4"/>
      <c r="DB185" s="4"/>
      <c r="DC185" s="4"/>
      <c r="DD185" s="4"/>
      <c r="DE185" s="4"/>
      <c r="DF185" s="4"/>
      <c r="DG185" s="4"/>
      <c r="DH185" s="4"/>
      <c r="DI185" s="4"/>
      <c r="DJ185" s="4"/>
      <c r="DK185" s="4"/>
      <c r="DL185" s="4"/>
      <c r="DM185" s="4"/>
      <c r="DN185" s="4"/>
      <c r="DO185" s="4"/>
      <c r="DP185" s="4"/>
      <c r="DQ185" s="4"/>
      <c r="DR185" s="4"/>
      <c r="DS185" s="4"/>
      <c r="DT185" s="4"/>
      <c r="DU185" s="4"/>
      <c r="DV185" s="4"/>
      <c r="DW185" s="4"/>
      <c r="DX185" s="4"/>
      <c r="DY185" s="4"/>
      <c r="DZ185" s="4"/>
      <c r="EA185" s="4"/>
      <c r="EB185" s="4"/>
      <c r="EC185" s="4"/>
      <c r="ED185" s="4"/>
    </row>
    <row r="186" spans="2:134" ht="30" customHeight="1" thickBot="1" x14ac:dyDescent="0.35">
      <c r="B186" s="57" t="s">
        <v>117</v>
      </c>
      <c r="C186" s="54" t="s">
        <v>38</v>
      </c>
      <c r="D186" s="55"/>
      <c r="E186" s="56"/>
      <c r="F186" s="56"/>
      <c r="G186" s="29"/>
      <c r="H186" s="29" t="str">
        <f t="shared" si="75"/>
        <v/>
      </c>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c r="AP186" s="4"/>
      <c r="AQ186" s="4"/>
      <c r="AR186" s="4"/>
      <c r="AS186" s="4"/>
      <c r="AT186" s="4"/>
      <c r="AU186" s="4"/>
      <c r="AV186" s="4"/>
      <c r="AW186" s="4"/>
      <c r="AX186" s="4"/>
      <c r="AY186" s="4"/>
      <c r="AZ186" s="4"/>
      <c r="BA186" s="4"/>
      <c r="BB186" s="4"/>
      <c r="BC186" s="4"/>
      <c r="BD186" s="4"/>
      <c r="BE186" s="4"/>
      <c r="BF186" s="4"/>
      <c r="BG186" s="4"/>
      <c r="BH186" s="4"/>
      <c r="BI186" s="4"/>
      <c r="BJ186" s="4"/>
      <c r="BK186" s="4"/>
      <c r="BL186" s="4"/>
      <c r="BM186" s="4"/>
      <c r="BN186" s="4"/>
      <c r="BO186" s="4"/>
      <c r="BP186" s="4"/>
      <c r="BQ186" s="4"/>
      <c r="BR186" s="4"/>
      <c r="BS186" s="4"/>
      <c r="BT186" s="4"/>
      <c r="BU186" s="4"/>
      <c r="BV186" s="4"/>
      <c r="BW186" s="4"/>
      <c r="BX186" s="4"/>
      <c r="BY186" s="4"/>
      <c r="BZ186" s="4"/>
      <c r="CA186" s="4"/>
      <c r="CB186" s="4"/>
      <c r="CC186" s="4"/>
      <c r="CD186" s="4"/>
      <c r="CE186" s="4"/>
      <c r="CF186" s="4"/>
      <c r="CG186" s="4"/>
      <c r="CH186" s="4"/>
      <c r="CI186" s="4"/>
      <c r="CJ186" s="4"/>
      <c r="CK186" s="4"/>
      <c r="CL186" s="4"/>
      <c r="CM186" s="4"/>
      <c r="CN186" s="4"/>
      <c r="CO186" s="4"/>
      <c r="CP186" s="4"/>
      <c r="CQ186" s="4"/>
      <c r="CR186" s="4"/>
      <c r="CS186" s="4"/>
      <c r="CT186" s="4"/>
      <c r="CU186" s="4"/>
      <c r="CV186" s="4"/>
      <c r="CW186" s="4"/>
      <c r="CX186" s="4"/>
      <c r="CY186" s="4"/>
      <c r="CZ186" s="4"/>
      <c r="DA186" s="4"/>
      <c r="DB186" s="4"/>
      <c r="DC186" s="4"/>
      <c r="DD186" s="4"/>
      <c r="DE186" s="4"/>
      <c r="DF186" s="4"/>
      <c r="DG186" s="4"/>
      <c r="DH186" s="4"/>
      <c r="DI186" s="4"/>
      <c r="DJ186" s="4"/>
      <c r="DK186" s="4"/>
      <c r="DL186" s="4"/>
      <c r="DM186" s="4"/>
      <c r="DN186" s="4"/>
      <c r="DO186" s="4"/>
      <c r="DP186" s="4"/>
      <c r="DQ186" s="4"/>
      <c r="DR186" s="4"/>
      <c r="DS186" s="4"/>
      <c r="DT186" s="4"/>
      <c r="DU186" s="4"/>
      <c r="DV186" s="4"/>
      <c r="DW186" s="4"/>
      <c r="DX186" s="4"/>
      <c r="DY186" s="4"/>
      <c r="DZ186" s="4"/>
      <c r="EA186" s="4"/>
      <c r="EB186" s="4"/>
      <c r="EC186" s="4"/>
      <c r="ED186" s="4"/>
    </row>
    <row r="187" spans="2:134" ht="30" customHeight="1" thickBot="1" x14ac:dyDescent="0.35">
      <c r="B187" s="27" t="s">
        <v>118</v>
      </c>
      <c r="C187" s="12" t="s">
        <v>38</v>
      </c>
      <c r="D187" s="28"/>
      <c r="E187" s="47"/>
      <c r="F187" s="48"/>
      <c r="G187" s="29"/>
      <c r="H187" s="29" t="str">
        <f t="shared" si="75"/>
        <v/>
      </c>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c r="AP187" s="4"/>
      <c r="AQ187" s="4"/>
      <c r="AR187" s="4"/>
      <c r="AS187" s="4"/>
      <c r="AT187" s="4"/>
      <c r="AU187" s="4"/>
      <c r="AV187" s="4"/>
      <c r="AW187" s="4"/>
      <c r="AX187" s="4"/>
      <c r="AY187" s="4"/>
      <c r="AZ187" s="4"/>
      <c r="BA187" s="4"/>
      <c r="BB187" s="4"/>
      <c r="BC187" s="4"/>
      <c r="BD187" s="4"/>
      <c r="BE187" s="4"/>
      <c r="BF187" s="4"/>
      <c r="BG187" s="4"/>
      <c r="BH187" s="4"/>
      <c r="BI187" s="4"/>
      <c r="BJ187" s="4"/>
      <c r="BK187" s="4"/>
      <c r="BL187" s="4"/>
      <c r="BM187" s="4"/>
      <c r="BN187" s="4"/>
      <c r="BO187" s="4"/>
      <c r="BP187" s="4"/>
      <c r="BQ187" s="4"/>
      <c r="BR187" s="4"/>
      <c r="BS187" s="4"/>
      <c r="BT187" s="4"/>
      <c r="BU187" s="4"/>
      <c r="BV187" s="4"/>
      <c r="BW187" s="4"/>
      <c r="BX187" s="4"/>
      <c r="BY187" s="4"/>
      <c r="BZ187" s="4"/>
      <c r="CA187" s="4"/>
      <c r="CB187" s="4"/>
      <c r="CC187" s="4"/>
      <c r="CD187" s="4"/>
      <c r="CE187" s="4"/>
      <c r="CF187" s="4"/>
      <c r="CG187" s="4"/>
      <c r="CH187" s="4"/>
      <c r="CI187" s="4"/>
      <c r="CJ187" s="4"/>
      <c r="CK187" s="4"/>
      <c r="CL187" s="4"/>
      <c r="CM187" s="4"/>
      <c r="CN187" s="4"/>
      <c r="CO187" s="4"/>
      <c r="CP187" s="4"/>
      <c r="CQ187" s="4"/>
      <c r="CR187" s="4"/>
      <c r="CS187" s="4"/>
      <c r="CT187" s="4"/>
      <c r="CU187" s="4"/>
      <c r="CV187" s="4"/>
      <c r="CW187" s="4"/>
      <c r="CX187" s="4"/>
      <c r="CY187" s="4"/>
      <c r="CZ187" s="4"/>
      <c r="DA187" s="4"/>
      <c r="DB187" s="4"/>
      <c r="DC187" s="4"/>
      <c r="DD187" s="4"/>
      <c r="DE187" s="4"/>
      <c r="DF187" s="4"/>
      <c r="DG187" s="4"/>
      <c r="DH187" s="4"/>
      <c r="DI187" s="4"/>
      <c r="DJ187" s="4"/>
      <c r="DK187" s="4"/>
      <c r="DL187" s="4"/>
      <c r="DM187" s="4"/>
      <c r="DN187" s="4"/>
      <c r="DO187" s="4"/>
      <c r="DP187" s="4"/>
      <c r="DQ187" s="4"/>
      <c r="DR187" s="4"/>
      <c r="DS187" s="4"/>
      <c r="DT187" s="4"/>
      <c r="DU187" s="4"/>
      <c r="DV187" s="4"/>
      <c r="DW187" s="4"/>
      <c r="DX187" s="4"/>
      <c r="DY187" s="4"/>
      <c r="DZ187" s="4"/>
      <c r="EA187" s="4"/>
      <c r="EB187" s="4"/>
      <c r="EC187" s="4"/>
      <c r="ED187" s="4"/>
    </row>
    <row r="188" spans="2:134" ht="30" customHeight="1" thickBot="1" x14ac:dyDescent="0.35">
      <c r="B188" s="62" t="s">
        <v>119</v>
      </c>
      <c r="C188" s="13" t="s">
        <v>38</v>
      </c>
      <c r="D188" s="30">
        <v>0</v>
      </c>
      <c r="E188" s="49">
        <f>F185+3</f>
        <v>46398</v>
      </c>
      <c r="F188" s="49">
        <f>E188+1</f>
        <v>46399</v>
      </c>
      <c r="G188" s="29"/>
      <c r="H188" s="29">
        <f t="shared" si="75"/>
        <v>2</v>
      </c>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c r="AP188" s="4"/>
      <c r="AQ188" s="4"/>
      <c r="AR188" s="4"/>
      <c r="AS188" s="4"/>
      <c r="AT188" s="4"/>
      <c r="AU188" s="4"/>
      <c r="AV188" s="4"/>
      <c r="AW188" s="4"/>
      <c r="AX188" s="4"/>
      <c r="AY188" s="4"/>
      <c r="AZ188" s="4"/>
      <c r="BA188" s="4"/>
      <c r="BB188" s="4"/>
      <c r="BC188" s="4"/>
      <c r="BD188" s="4"/>
      <c r="BE188" s="4"/>
      <c r="BF188" s="4"/>
      <c r="BG188" s="4"/>
      <c r="BH188" s="4"/>
      <c r="BI188" s="4"/>
      <c r="BJ188" s="4"/>
      <c r="BK188" s="4"/>
      <c r="BL188" s="4"/>
      <c r="BM188" s="4"/>
      <c r="BN188" s="4"/>
      <c r="BO188" s="4"/>
      <c r="BP188" s="4"/>
      <c r="BQ188" s="4"/>
      <c r="BR188" s="4"/>
      <c r="BS188" s="4"/>
      <c r="BT188" s="4"/>
      <c r="BU188" s="4"/>
      <c r="BV188" s="4"/>
      <c r="BW188" s="4"/>
      <c r="BX188" s="4"/>
      <c r="BY188" s="4"/>
      <c r="BZ188" s="4"/>
      <c r="CA188" s="4"/>
      <c r="CB188" s="4"/>
      <c r="CC188" s="4"/>
      <c r="CD188" s="4"/>
      <c r="CE188" s="4"/>
      <c r="CF188" s="4"/>
      <c r="CG188" s="4"/>
      <c r="CH188" s="4"/>
      <c r="CI188" s="4"/>
      <c r="CJ188" s="4"/>
      <c r="CK188" s="4"/>
      <c r="CL188" s="4"/>
      <c r="CM188" s="4"/>
      <c r="CN188" s="4"/>
      <c r="CO188" s="4"/>
      <c r="CP188" s="4"/>
      <c r="CQ188" s="4"/>
      <c r="CR188" s="4"/>
      <c r="CS188" s="4"/>
      <c r="CT188" s="4"/>
      <c r="CU188" s="4"/>
      <c r="CV188" s="4"/>
      <c r="CW188" s="4"/>
      <c r="CX188" s="4"/>
      <c r="CY188" s="4"/>
      <c r="CZ188" s="4"/>
      <c r="DA188" s="4"/>
      <c r="DB188" s="4"/>
      <c r="DC188" s="4"/>
      <c r="DD188" s="4"/>
      <c r="DE188" s="4"/>
      <c r="DF188" s="4"/>
      <c r="DG188" s="4"/>
      <c r="DH188" s="4"/>
      <c r="DI188" s="4"/>
      <c r="DJ188" s="4"/>
      <c r="DK188" s="4"/>
      <c r="DL188" s="4"/>
      <c r="DM188" s="4"/>
      <c r="DN188" s="4"/>
      <c r="DO188" s="4"/>
      <c r="DP188" s="4"/>
      <c r="DQ188" s="4"/>
      <c r="DR188" s="4"/>
      <c r="DS188" s="4"/>
      <c r="DT188" s="4"/>
      <c r="DU188" s="4"/>
      <c r="DV188" s="4"/>
      <c r="DW188" s="4"/>
      <c r="DX188" s="4"/>
      <c r="DY188" s="4"/>
      <c r="DZ188" s="4"/>
      <c r="EA188" s="4"/>
      <c r="EB188" s="4"/>
      <c r="EC188" s="4"/>
      <c r="ED188" s="4"/>
    </row>
    <row r="189" spans="2:134" ht="30" customHeight="1" thickBot="1" x14ac:dyDescent="0.35">
      <c r="B189" s="62" t="s">
        <v>120</v>
      </c>
      <c r="C189" s="13" t="s">
        <v>38</v>
      </c>
      <c r="D189" s="30">
        <v>0</v>
      </c>
      <c r="E189" s="49">
        <f>F188</f>
        <v>46399</v>
      </c>
      <c r="F189" s="49">
        <f>E189</f>
        <v>46399</v>
      </c>
      <c r="G189" s="29"/>
      <c r="H189" s="29">
        <f t="shared" si="75"/>
        <v>1</v>
      </c>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c r="CY189" s="4"/>
      <c r="CZ189" s="4"/>
      <c r="DA189" s="4"/>
      <c r="DB189" s="4"/>
      <c r="DC189" s="4"/>
      <c r="DD189" s="4"/>
      <c r="DE189" s="4"/>
      <c r="DF189" s="4"/>
      <c r="DG189" s="4"/>
      <c r="DH189" s="4"/>
      <c r="DI189" s="4"/>
      <c r="DJ189" s="4"/>
      <c r="DK189" s="4"/>
      <c r="DL189" s="4"/>
      <c r="DM189" s="4"/>
      <c r="DN189" s="4"/>
      <c r="DO189" s="4"/>
      <c r="DP189" s="4"/>
      <c r="DQ189" s="4"/>
      <c r="DR189" s="4"/>
      <c r="DS189" s="4"/>
      <c r="DT189" s="4"/>
      <c r="DU189" s="4"/>
      <c r="DV189" s="4"/>
      <c r="DW189" s="4"/>
      <c r="DX189" s="4"/>
      <c r="DY189" s="4"/>
      <c r="DZ189" s="4"/>
      <c r="EA189" s="4"/>
      <c r="EB189" s="4"/>
      <c r="EC189" s="4"/>
      <c r="ED189" s="4"/>
    </row>
    <row r="190" spans="2:134" ht="30" customHeight="1" thickBot="1" x14ac:dyDescent="0.35">
      <c r="B190" s="62" t="s">
        <v>124</v>
      </c>
      <c r="C190" s="13" t="s">
        <v>38</v>
      </c>
      <c r="D190" s="30">
        <v>0</v>
      </c>
      <c r="E190" s="49">
        <f>F188</f>
        <v>46399</v>
      </c>
      <c r="F190" s="49">
        <f>E190</f>
        <v>46399</v>
      </c>
      <c r="G190" s="29"/>
      <c r="H190" s="29">
        <f t="shared" si="75"/>
        <v>1</v>
      </c>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c r="CY190" s="4"/>
      <c r="CZ190" s="4"/>
      <c r="DA190" s="4"/>
      <c r="DB190" s="4"/>
      <c r="DC190" s="4"/>
      <c r="DD190" s="4"/>
      <c r="DE190" s="4"/>
      <c r="DF190" s="4"/>
      <c r="DG190" s="4"/>
      <c r="DH190" s="4"/>
      <c r="DI190" s="4"/>
      <c r="DJ190" s="4"/>
      <c r="DK190" s="4"/>
      <c r="DL190" s="4"/>
      <c r="DM190" s="4"/>
      <c r="DN190" s="4"/>
      <c r="DO190" s="4"/>
      <c r="DP190" s="4"/>
      <c r="DQ190" s="4"/>
      <c r="DR190" s="4"/>
      <c r="DS190" s="4"/>
      <c r="DT190" s="4"/>
      <c r="DU190" s="4"/>
      <c r="DV190" s="4"/>
      <c r="DW190" s="4"/>
      <c r="DX190" s="4"/>
      <c r="DY190" s="4"/>
      <c r="DZ190" s="4"/>
      <c r="EA190" s="4"/>
      <c r="EB190" s="4"/>
      <c r="EC190" s="4"/>
      <c r="ED190" s="4"/>
    </row>
    <row r="191" spans="2:134" ht="30" customHeight="1" thickBot="1" x14ac:dyDescent="0.35">
      <c r="B191" s="62" t="s">
        <v>125</v>
      </c>
      <c r="C191" s="13" t="s">
        <v>38</v>
      </c>
      <c r="D191" s="30">
        <v>0</v>
      </c>
      <c r="E191" s="49">
        <f>F189</f>
        <v>46399</v>
      </c>
      <c r="F191" s="49">
        <f>E191</f>
        <v>46399</v>
      </c>
      <c r="G191" s="29"/>
      <c r="H191" s="29">
        <f t="shared" si="75"/>
        <v>1</v>
      </c>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c r="CY191" s="4"/>
      <c r="CZ191" s="4"/>
      <c r="DA191" s="4"/>
      <c r="DB191" s="4"/>
      <c r="DC191" s="4"/>
      <c r="DD191" s="4"/>
      <c r="DE191" s="4"/>
      <c r="DF191" s="4"/>
      <c r="DG191" s="4"/>
      <c r="DH191" s="4"/>
      <c r="DI191" s="4"/>
      <c r="DJ191" s="4"/>
      <c r="DK191" s="4"/>
      <c r="DL191" s="4"/>
      <c r="DM191" s="4"/>
      <c r="DN191" s="4"/>
      <c r="DO191" s="4"/>
      <c r="DP191" s="4"/>
      <c r="DQ191" s="4"/>
      <c r="DR191" s="4"/>
      <c r="DS191" s="4"/>
      <c r="DT191" s="4"/>
      <c r="DU191" s="4"/>
      <c r="DV191" s="4"/>
      <c r="DW191" s="4"/>
      <c r="DX191" s="4"/>
      <c r="DY191" s="4"/>
      <c r="DZ191" s="4"/>
      <c r="EA191" s="4"/>
      <c r="EB191" s="4"/>
      <c r="EC191" s="4"/>
      <c r="ED191" s="4"/>
    </row>
    <row r="192" spans="2:134" ht="30" customHeight="1" thickBot="1" x14ac:dyDescent="0.35">
      <c r="B192" s="27" t="s">
        <v>121</v>
      </c>
      <c r="C192" s="12" t="s">
        <v>38</v>
      </c>
      <c r="D192" s="28"/>
      <c r="E192" s="47"/>
      <c r="F192" s="48"/>
      <c r="G192" s="29"/>
      <c r="H192" s="29" t="str">
        <f t="shared" si="75"/>
        <v/>
      </c>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c r="CY192" s="4"/>
      <c r="CZ192" s="4"/>
      <c r="DA192" s="4"/>
      <c r="DB192" s="4"/>
      <c r="DC192" s="4"/>
      <c r="DD192" s="4"/>
      <c r="DE192" s="4"/>
      <c r="DF192" s="4"/>
      <c r="DG192" s="4"/>
      <c r="DH192" s="4"/>
      <c r="DI192" s="4"/>
      <c r="DJ192" s="4"/>
      <c r="DK192" s="4"/>
      <c r="DL192" s="4"/>
      <c r="DM192" s="4"/>
      <c r="DN192" s="4"/>
      <c r="DO192" s="4"/>
      <c r="DP192" s="4"/>
      <c r="DQ192" s="4"/>
      <c r="DR192" s="4"/>
      <c r="DS192" s="4"/>
      <c r="DT192" s="4"/>
      <c r="DU192" s="4"/>
      <c r="DV192" s="4"/>
      <c r="DW192" s="4"/>
      <c r="DX192" s="4"/>
      <c r="DY192" s="4"/>
      <c r="DZ192" s="4"/>
      <c r="EA192" s="4"/>
      <c r="EB192" s="4"/>
      <c r="EC192" s="4"/>
      <c r="ED192" s="4"/>
    </row>
    <row r="193" spans="2:134" ht="30" customHeight="1" thickBot="1" x14ac:dyDescent="0.35">
      <c r="B193" s="62" t="s">
        <v>122</v>
      </c>
      <c r="C193" s="13" t="s">
        <v>38</v>
      </c>
      <c r="D193" s="30">
        <v>0</v>
      </c>
      <c r="E193" s="49">
        <f>F189+1</f>
        <v>46400</v>
      </c>
      <c r="F193" s="49">
        <f>E193+1</f>
        <v>46401</v>
      </c>
      <c r="G193" s="29"/>
      <c r="H193" s="29">
        <f t="shared" si="75"/>
        <v>2</v>
      </c>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c r="CY193" s="4"/>
      <c r="CZ193" s="4"/>
      <c r="DA193" s="4"/>
      <c r="DB193" s="4"/>
      <c r="DC193" s="4"/>
      <c r="DD193" s="4"/>
      <c r="DE193" s="4"/>
      <c r="DF193" s="4"/>
      <c r="DG193" s="4"/>
      <c r="DH193" s="4"/>
      <c r="DI193" s="4"/>
      <c r="DJ193" s="4"/>
      <c r="DK193" s="4"/>
      <c r="DL193" s="4"/>
      <c r="DM193" s="4"/>
      <c r="DN193" s="4"/>
      <c r="DO193" s="4"/>
      <c r="DP193" s="4"/>
      <c r="DQ193" s="4"/>
      <c r="DR193" s="4"/>
      <c r="DS193" s="4"/>
      <c r="DT193" s="4"/>
      <c r="DU193" s="4"/>
      <c r="DV193" s="4"/>
      <c r="DW193" s="4"/>
      <c r="DX193" s="4"/>
      <c r="DY193" s="4"/>
      <c r="DZ193" s="4"/>
      <c r="EA193" s="4"/>
      <c r="EB193" s="4"/>
      <c r="EC193" s="4"/>
      <c r="ED193" s="4"/>
    </row>
    <row r="194" spans="2:134" ht="30" customHeight="1" thickBot="1" x14ac:dyDescent="0.35">
      <c r="B194" s="62" t="s">
        <v>123</v>
      </c>
      <c r="C194" s="13" t="s">
        <v>38</v>
      </c>
      <c r="D194" s="30">
        <v>0</v>
      </c>
      <c r="E194" s="49">
        <f>F193</f>
        <v>46401</v>
      </c>
      <c r="F194" s="49">
        <f>E194</f>
        <v>46401</v>
      </c>
      <c r="G194" s="29"/>
      <c r="H194" s="29">
        <f t="shared" si="75"/>
        <v>1</v>
      </c>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c r="CY194" s="4"/>
      <c r="CZ194" s="4"/>
      <c r="DA194" s="4"/>
      <c r="DB194" s="4"/>
      <c r="DC194" s="4"/>
      <c r="DD194" s="4"/>
      <c r="DE194" s="4"/>
      <c r="DF194" s="4"/>
      <c r="DG194" s="4"/>
      <c r="DH194" s="4"/>
      <c r="DI194" s="4"/>
      <c r="DJ194" s="4"/>
      <c r="DK194" s="4"/>
      <c r="DL194" s="4"/>
      <c r="DM194" s="4"/>
      <c r="DN194" s="4"/>
      <c r="DO194" s="4"/>
      <c r="DP194" s="4"/>
      <c r="DQ194" s="4"/>
      <c r="DR194" s="4"/>
      <c r="DS194" s="4"/>
      <c r="DT194" s="4"/>
      <c r="DU194" s="4"/>
      <c r="DV194" s="4"/>
      <c r="DW194" s="4"/>
      <c r="DX194" s="4"/>
      <c r="DY194" s="4"/>
      <c r="DZ194" s="4"/>
      <c r="EA194" s="4"/>
      <c r="EB194" s="4"/>
      <c r="EC194" s="4"/>
      <c r="ED194" s="4"/>
    </row>
    <row r="195" spans="2:134" ht="30" customHeight="1" thickBot="1" x14ac:dyDescent="0.35">
      <c r="B195" s="57" t="s">
        <v>126</v>
      </c>
      <c r="C195" s="54" t="s">
        <v>38</v>
      </c>
      <c r="D195" s="55"/>
      <c r="E195" s="56"/>
      <c r="F195" s="56"/>
      <c r="G195" s="29"/>
      <c r="H195" s="29" t="str">
        <f t="shared" si="75"/>
        <v/>
      </c>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c r="CY195" s="4"/>
      <c r="CZ195" s="4"/>
      <c r="DA195" s="4"/>
      <c r="DB195" s="4"/>
      <c r="DC195" s="4"/>
      <c r="DD195" s="4"/>
      <c r="DE195" s="4"/>
      <c r="DF195" s="4"/>
      <c r="DG195" s="4"/>
      <c r="DH195" s="4"/>
      <c r="DI195" s="4"/>
      <c r="DJ195" s="4"/>
      <c r="DK195" s="4"/>
      <c r="DL195" s="4"/>
      <c r="DM195" s="4"/>
      <c r="DN195" s="4"/>
      <c r="DO195" s="4"/>
      <c r="DP195" s="4"/>
      <c r="DQ195" s="4"/>
      <c r="DR195" s="4"/>
      <c r="DS195" s="4"/>
      <c r="DT195" s="4"/>
      <c r="DU195" s="4"/>
      <c r="DV195" s="4"/>
      <c r="DW195" s="4"/>
      <c r="DX195" s="4"/>
      <c r="DY195" s="4"/>
      <c r="DZ195" s="4"/>
      <c r="EA195" s="4"/>
      <c r="EB195" s="4"/>
      <c r="EC195" s="4"/>
      <c r="ED195" s="4"/>
    </row>
    <row r="196" spans="2:134" ht="30" customHeight="1" thickBot="1" x14ac:dyDescent="0.35">
      <c r="B196" s="27" t="s">
        <v>127</v>
      </c>
      <c r="C196" s="12" t="s">
        <v>38</v>
      </c>
      <c r="D196" s="28"/>
      <c r="E196" s="47"/>
      <c r="F196" s="48"/>
      <c r="G196" s="29"/>
      <c r="H196" s="29" t="str">
        <f t="shared" si="75"/>
        <v/>
      </c>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c r="CY196" s="4"/>
      <c r="CZ196" s="4"/>
      <c r="DA196" s="4"/>
      <c r="DB196" s="4"/>
      <c r="DC196" s="4"/>
      <c r="DD196" s="4"/>
      <c r="DE196" s="4"/>
      <c r="DF196" s="4"/>
      <c r="DG196" s="4"/>
      <c r="DH196" s="4"/>
      <c r="DI196" s="4"/>
      <c r="DJ196" s="4"/>
      <c r="DK196" s="4"/>
      <c r="DL196" s="4"/>
      <c r="DM196" s="4"/>
      <c r="DN196" s="4"/>
      <c r="DO196" s="4"/>
      <c r="DP196" s="4"/>
      <c r="DQ196" s="4"/>
      <c r="DR196" s="4"/>
      <c r="DS196" s="4"/>
      <c r="DT196" s="4"/>
      <c r="DU196" s="4"/>
      <c r="DV196" s="4"/>
      <c r="DW196" s="4"/>
      <c r="DX196" s="4"/>
      <c r="DY196" s="4"/>
      <c r="DZ196" s="4"/>
      <c r="EA196" s="4"/>
      <c r="EB196" s="4"/>
      <c r="EC196" s="4"/>
      <c r="ED196" s="4"/>
    </row>
    <row r="197" spans="2:134" ht="30" customHeight="1" thickBot="1" x14ac:dyDescent="0.35">
      <c r="B197" s="62" t="s">
        <v>128</v>
      </c>
      <c r="C197" s="13" t="s">
        <v>38</v>
      </c>
      <c r="D197" s="30">
        <v>0</v>
      </c>
      <c r="E197" s="49">
        <f>F194</f>
        <v>46401</v>
      </c>
      <c r="F197" s="49">
        <f>E197+1</f>
        <v>46402</v>
      </c>
      <c r="G197" s="29"/>
      <c r="H197" s="29">
        <f t="shared" si="75"/>
        <v>2</v>
      </c>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c r="CY197" s="4"/>
      <c r="CZ197" s="4"/>
      <c r="DA197" s="4"/>
      <c r="DB197" s="4"/>
      <c r="DC197" s="4"/>
      <c r="DD197" s="4"/>
      <c r="DE197" s="4"/>
      <c r="DF197" s="4"/>
      <c r="DG197" s="4"/>
      <c r="DH197" s="4"/>
      <c r="DI197" s="4"/>
      <c r="DJ197" s="4"/>
      <c r="DK197" s="4"/>
      <c r="DL197" s="4"/>
      <c r="DM197" s="4"/>
      <c r="DN197" s="4"/>
      <c r="DO197" s="4"/>
      <c r="DP197" s="4"/>
      <c r="DQ197" s="4"/>
      <c r="DR197" s="4"/>
      <c r="DS197" s="4"/>
      <c r="DT197" s="4"/>
      <c r="DU197" s="4"/>
      <c r="DV197" s="4"/>
      <c r="DW197" s="4"/>
      <c r="DX197" s="4"/>
      <c r="DY197" s="4"/>
      <c r="DZ197" s="4"/>
      <c r="EA197" s="4"/>
      <c r="EB197" s="4"/>
      <c r="EC197" s="4"/>
      <c r="ED197" s="4"/>
    </row>
    <row r="198" spans="2:134" ht="30" customHeight="1" thickBot="1" x14ac:dyDescent="0.35">
      <c r="B198" s="62" t="s">
        <v>129</v>
      </c>
      <c r="C198" s="13" t="s">
        <v>38</v>
      </c>
      <c r="D198" s="30">
        <v>0</v>
      </c>
      <c r="E198" s="49">
        <f>F197</f>
        <v>46402</v>
      </c>
      <c r="F198" s="49">
        <f>E198</f>
        <v>46402</v>
      </c>
      <c r="G198" s="29"/>
      <c r="H198" s="29">
        <f t="shared" si="75"/>
        <v>1</v>
      </c>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c r="CY198" s="4"/>
      <c r="CZ198" s="4"/>
      <c r="DA198" s="4"/>
      <c r="DB198" s="4"/>
      <c r="DC198" s="4"/>
      <c r="DD198" s="4"/>
      <c r="DE198" s="4"/>
      <c r="DF198" s="4"/>
      <c r="DG198" s="4"/>
      <c r="DH198" s="4"/>
      <c r="DI198" s="4"/>
      <c r="DJ198" s="4"/>
      <c r="DK198" s="4"/>
      <c r="DL198" s="4"/>
      <c r="DM198" s="4"/>
      <c r="DN198" s="4"/>
      <c r="DO198" s="4"/>
      <c r="DP198" s="4"/>
      <c r="DQ198" s="4"/>
      <c r="DR198" s="4"/>
      <c r="DS198" s="4"/>
      <c r="DT198" s="4"/>
      <c r="DU198" s="4"/>
      <c r="DV198" s="4"/>
      <c r="DW198" s="4"/>
      <c r="DX198" s="4"/>
      <c r="DY198" s="4"/>
      <c r="DZ198" s="4"/>
      <c r="EA198" s="4"/>
      <c r="EB198" s="4"/>
      <c r="EC198" s="4"/>
      <c r="ED198" s="4"/>
    </row>
    <row r="199" spans="2:134" ht="30" customHeight="1" thickBot="1" x14ac:dyDescent="0.35">
      <c r="B199" s="62" t="s">
        <v>130</v>
      </c>
      <c r="C199" s="13" t="s">
        <v>38</v>
      </c>
      <c r="D199" s="30">
        <v>0</v>
      </c>
      <c r="E199" s="49">
        <f>F197</f>
        <v>46402</v>
      </c>
      <c r="F199" s="49">
        <f>E199</f>
        <v>46402</v>
      </c>
      <c r="G199" s="29"/>
      <c r="H199" s="29">
        <f t="shared" si="75"/>
        <v>1</v>
      </c>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c r="CY199" s="4"/>
      <c r="CZ199" s="4"/>
      <c r="DA199" s="4"/>
      <c r="DB199" s="4"/>
      <c r="DC199" s="4"/>
      <c r="DD199" s="4"/>
      <c r="DE199" s="4"/>
      <c r="DF199" s="4"/>
      <c r="DG199" s="4"/>
      <c r="DH199" s="4"/>
      <c r="DI199" s="4"/>
      <c r="DJ199" s="4"/>
      <c r="DK199" s="4"/>
      <c r="DL199" s="4"/>
      <c r="DM199" s="4"/>
      <c r="DN199" s="4"/>
      <c r="DO199" s="4"/>
      <c r="DP199" s="4"/>
      <c r="DQ199" s="4"/>
      <c r="DR199" s="4"/>
      <c r="DS199" s="4"/>
      <c r="DT199" s="4"/>
      <c r="DU199" s="4"/>
      <c r="DV199" s="4"/>
      <c r="DW199" s="4"/>
      <c r="DX199" s="4"/>
      <c r="DY199" s="4"/>
      <c r="DZ199" s="4"/>
      <c r="EA199" s="4"/>
      <c r="EB199" s="4"/>
      <c r="EC199" s="4"/>
      <c r="ED199" s="4"/>
    </row>
    <row r="200" spans="2:134" ht="30" customHeight="1" thickBot="1" x14ac:dyDescent="0.35">
      <c r="B200" s="27" t="s">
        <v>131</v>
      </c>
      <c r="C200" s="12" t="s">
        <v>38</v>
      </c>
      <c r="D200" s="28"/>
      <c r="E200" s="47"/>
      <c r="F200" s="48"/>
      <c r="G200" s="29"/>
      <c r="H200" s="29" t="str">
        <f t="shared" si="75"/>
        <v/>
      </c>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c r="CY200" s="4"/>
      <c r="CZ200" s="4"/>
      <c r="DA200" s="4"/>
      <c r="DB200" s="4"/>
      <c r="DC200" s="4"/>
      <c r="DD200" s="4"/>
      <c r="DE200" s="4"/>
      <c r="DF200" s="4"/>
      <c r="DG200" s="4"/>
      <c r="DH200" s="4"/>
      <c r="DI200" s="4"/>
      <c r="DJ200" s="4"/>
      <c r="DK200" s="4"/>
      <c r="DL200" s="4"/>
      <c r="DM200" s="4"/>
      <c r="DN200" s="4"/>
      <c r="DO200" s="4"/>
      <c r="DP200" s="4"/>
      <c r="DQ200" s="4"/>
      <c r="DR200" s="4"/>
      <c r="DS200" s="4"/>
      <c r="DT200" s="4"/>
      <c r="DU200" s="4"/>
      <c r="DV200" s="4"/>
      <c r="DW200" s="4"/>
      <c r="DX200" s="4"/>
      <c r="DY200" s="4"/>
      <c r="DZ200" s="4"/>
      <c r="EA200" s="4"/>
      <c r="EB200" s="4"/>
      <c r="EC200" s="4"/>
      <c r="ED200" s="4"/>
    </row>
    <row r="201" spans="2:134" ht="30" customHeight="1" thickBot="1" x14ac:dyDescent="0.35">
      <c r="B201" s="62" t="s">
        <v>132</v>
      </c>
      <c r="C201" s="13" t="s">
        <v>38</v>
      </c>
      <c r="D201" s="30">
        <v>0</v>
      </c>
      <c r="E201" s="49">
        <f>F199+3</f>
        <v>46405</v>
      </c>
      <c r="F201" s="49">
        <f>E201</f>
        <v>46405</v>
      </c>
      <c r="G201" s="29"/>
      <c r="H201" s="29">
        <f t="shared" si="75"/>
        <v>1</v>
      </c>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c r="CY201" s="4"/>
      <c r="CZ201" s="4"/>
      <c r="DA201" s="4"/>
      <c r="DB201" s="4"/>
      <c r="DC201" s="4"/>
      <c r="DD201" s="4"/>
      <c r="DE201" s="4"/>
      <c r="DF201" s="4"/>
      <c r="DG201" s="4"/>
      <c r="DH201" s="4"/>
      <c r="DI201" s="4"/>
      <c r="DJ201" s="4"/>
      <c r="DK201" s="4"/>
      <c r="DL201" s="4"/>
      <c r="DM201" s="4"/>
      <c r="DN201" s="4"/>
      <c r="DO201" s="4"/>
      <c r="DP201" s="4"/>
      <c r="DQ201" s="4"/>
      <c r="DR201" s="4"/>
      <c r="DS201" s="4"/>
      <c r="DT201" s="4"/>
      <c r="DU201" s="4"/>
      <c r="DV201" s="4"/>
      <c r="DW201" s="4"/>
      <c r="DX201" s="4"/>
      <c r="DY201" s="4"/>
      <c r="DZ201" s="4"/>
      <c r="EA201" s="4"/>
      <c r="EB201" s="4"/>
      <c r="EC201" s="4"/>
      <c r="ED201" s="4"/>
    </row>
    <row r="202" spans="2:134" ht="30" customHeight="1" thickBot="1" x14ac:dyDescent="0.35">
      <c r="B202" s="62" t="s">
        <v>133</v>
      </c>
      <c r="C202" s="13" t="s">
        <v>38</v>
      </c>
      <c r="D202" s="30">
        <v>0</v>
      </c>
      <c r="E202" s="49">
        <f>F201</f>
        <v>46405</v>
      </c>
      <c r="F202" s="49">
        <f>E202</f>
        <v>46405</v>
      </c>
      <c r="G202" s="29"/>
      <c r="H202" s="29">
        <f t="shared" si="75"/>
        <v>1</v>
      </c>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c r="CY202" s="4"/>
      <c r="CZ202" s="4"/>
      <c r="DA202" s="4"/>
      <c r="DB202" s="4"/>
      <c r="DC202" s="4"/>
      <c r="DD202" s="4"/>
      <c r="DE202" s="4"/>
      <c r="DF202" s="4"/>
      <c r="DG202" s="4"/>
      <c r="DH202" s="4"/>
      <c r="DI202" s="4"/>
      <c r="DJ202" s="4"/>
      <c r="DK202" s="4"/>
      <c r="DL202" s="4"/>
      <c r="DM202" s="4"/>
      <c r="DN202" s="4"/>
      <c r="DO202" s="4"/>
      <c r="DP202" s="4"/>
      <c r="DQ202" s="4"/>
      <c r="DR202" s="4"/>
      <c r="DS202" s="4"/>
      <c r="DT202" s="4"/>
      <c r="DU202" s="4"/>
      <c r="DV202" s="4"/>
      <c r="DW202" s="4"/>
      <c r="DX202" s="4"/>
      <c r="DY202" s="4"/>
      <c r="DZ202" s="4"/>
      <c r="EA202" s="4"/>
      <c r="EB202" s="4"/>
      <c r="EC202" s="4"/>
      <c r="ED202" s="4"/>
    </row>
    <row r="203" spans="2:134" ht="30" customHeight="1" thickBot="1" x14ac:dyDescent="0.35">
      <c r="B203" s="57" t="s">
        <v>134</v>
      </c>
      <c r="C203" s="54" t="s">
        <v>38</v>
      </c>
      <c r="D203" s="55"/>
      <c r="E203" s="56"/>
      <c r="F203" s="56"/>
      <c r="G203" s="29"/>
      <c r="H203" s="29" t="str">
        <f t="shared" si="75"/>
        <v/>
      </c>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c r="CY203" s="4"/>
      <c r="CZ203" s="4"/>
      <c r="DA203" s="4"/>
      <c r="DB203" s="4"/>
      <c r="DC203" s="4"/>
      <c r="DD203" s="4"/>
      <c r="DE203" s="4"/>
      <c r="DF203" s="4"/>
      <c r="DG203" s="4"/>
      <c r="DH203" s="4"/>
      <c r="DI203" s="4"/>
      <c r="DJ203" s="4"/>
      <c r="DK203" s="4"/>
      <c r="DL203" s="4"/>
      <c r="DM203" s="4"/>
      <c r="DN203" s="4"/>
      <c r="DO203" s="4"/>
      <c r="DP203" s="4"/>
      <c r="DQ203" s="4"/>
      <c r="DR203" s="4"/>
      <c r="DS203" s="4"/>
      <c r="DT203" s="4"/>
      <c r="DU203" s="4"/>
      <c r="DV203" s="4"/>
      <c r="DW203" s="4"/>
      <c r="DX203" s="4"/>
      <c r="DY203" s="4"/>
      <c r="DZ203" s="4"/>
      <c r="EA203" s="4"/>
      <c r="EB203" s="4"/>
      <c r="EC203" s="4"/>
      <c r="ED203" s="4"/>
    </row>
    <row r="204" spans="2:134" ht="30" customHeight="1" thickBot="1" x14ac:dyDescent="0.35">
      <c r="B204" s="27" t="s">
        <v>135</v>
      </c>
      <c r="C204" s="12" t="s">
        <v>38</v>
      </c>
      <c r="D204" s="28"/>
      <c r="E204" s="47"/>
      <c r="F204" s="48"/>
      <c r="G204" s="29"/>
      <c r="H204" s="29" t="str">
        <f t="shared" si="75"/>
        <v/>
      </c>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c r="CY204" s="4"/>
      <c r="CZ204" s="4"/>
      <c r="DA204" s="4"/>
      <c r="DB204" s="4"/>
      <c r="DC204" s="4"/>
      <c r="DD204" s="4"/>
      <c r="DE204" s="4"/>
      <c r="DF204" s="4"/>
      <c r="DG204" s="4"/>
      <c r="DH204" s="4"/>
      <c r="DI204" s="4"/>
      <c r="DJ204" s="4"/>
      <c r="DK204" s="4"/>
      <c r="DL204" s="4"/>
      <c r="DM204" s="4"/>
      <c r="DN204" s="4"/>
      <c r="DO204" s="4"/>
      <c r="DP204" s="4"/>
      <c r="DQ204" s="4"/>
      <c r="DR204" s="4"/>
      <c r="DS204" s="4"/>
      <c r="DT204" s="4"/>
      <c r="DU204" s="4"/>
      <c r="DV204" s="4"/>
      <c r="DW204" s="4"/>
      <c r="DX204" s="4"/>
      <c r="DY204" s="4"/>
      <c r="DZ204" s="4"/>
      <c r="EA204" s="4"/>
      <c r="EB204" s="4"/>
      <c r="EC204" s="4"/>
      <c r="ED204" s="4"/>
    </row>
    <row r="205" spans="2:134" ht="30" customHeight="1" thickBot="1" x14ac:dyDescent="0.35">
      <c r="B205" s="62" t="s">
        <v>136</v>
      </c>
      <c r="C205" s="13" t="s">
        <v>38</v>
      </c>
      <c r="D205" s="30">
        <v>0</v>
      </c>
      <c r="E205" s="49">
        <f>F202</f>
        <v>46405</v>
      </c>
      <c r="F205" s="49">
        <f>E205</f>
        <v>46405</v>
      </c>
      <c r="G205" s="29"/>
      <c r="H205" s="29">
        <f t="shared" si="75"/>
        <v>1</v>
      </c>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c r="CY205" s="4"/>
      <c r="CZ205" s="4"/>
      <c r="DA205" s="4"/>
      <c r="DB205" s="4"/>
      <c r="DC205" s="4"/>
      <c r="DD205" s="4"/>
      <c r="DE205" s="4"/>
      <c r="DF205" s="4"/>
      <c r="DG205" s="4"/>
      <c r="DH205" s="4"/>
      <c r="DI205" s="4"/>
      <c r="DJ205" s="4"/>
      <c r="DK205" s="4"/>
      <c r="DL205" s="4"/>
      <c r="DM205" s="4"/>
      <c r="DN205" s="4"/>
      <c r="DO205" s="4"/>
      <c r="DP205" s="4"/>
      <c r="DQ205" s="4"/>
      <c r="DR205" s="4"/>
      <c r="DS205" s="4"/>
      <c r="DT205" s="4"/>
      <c r="DU205" s="4"/>
      <c r="DV205" s="4"/>
      <c r="DW205" s="4"/>
      <c r="DX205" s="4"/>
      <c r="DY205" s="4"/>
      <c r="DZ205" s="4"/>
      <c r="EA205" s="4"/>
      <c r="EB205" s="4"/>
      <c r="EC205" s="4"/>
      <c r="ED205" s="4"/>
    </row>
    <row r="206" spans="2:134" ht="30" customHeight="1" thickBot="1" x14ac:dyDescent="0.35">
      <c r="B206" s="62" t="s">
        <v>129</v>
      </c>
      <c r="C206" s="13" t="s">
        <v>38</v>
      </c>
      <c r="D206" s="30">
        <v>0</v>
      </c>
      <c r="E206" s="49">
        <f>F205</f>
        <v>46405</v>
      </c>
      <c r="F206" s="49">
        <f>E206</f>
        <v>46405</v>
      </c>
      <c r="G206" s="29"/>
      <c r="H206" s="29">
        <f t="shared" si="75"/>
        <v>1</v>
      </c>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c r="AP206" s="4"/>
      <c r="AQ206" s="4"/>
      <c r="AR206" s="4"/>
      <c r="AS206" s="4"/>
      <c r="AT206" s="4"/>
      <c r="AU206" s="4"/>
      <c r="AV206" s="4"/>
      <c r="AW206" s="4"/>
      <c r="AX206" s="4"/>
      <c r="AY206" s="4"/>
      <c r="AZ206" s="4"/>
      <c r="BA206" s="4"/>
      <c r="BB206" s="4"/>
      <c r="BC206" s="4"/>
      <c r="BD206" s="4"/>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c r="CY206" s="4"/>
      <c r="CZ206" s="4"/>
      <c r="DA206" s="4"/>
      <c r="DB206" s="4"/>
      <c r="DC206" s="4"/>
      <c r="DD206" s="4"/>
      <c r="DE206" s="4"/>
      <c r="DF206" s="4"/>
      <c r="DG206" s="4"/>
      <c r="DH206" s="4"/>
      <c r="DI206" s="4"/>
      <c r="DJ206" s="4"/>
      <c r="DK206" s="4"/>
      <c r="DL206" s="4"/>
      <c r="DM206" s="4"/>
      <c r="DN206" s="4"/>
      <c r="DO206" s="4"/>
      <c r="DP206" s="4"/>
      <c r="DQ206" s="4"/>
      <c r="DR206" s="4"/>
      <c r="DS206" s="4"/>
      <c r="DT206" s="4"/>
      <c r="DU206" s="4"/>
      <c r="DV206" s="4"/>
      <c r="DW206" s="4"/>
      <c r="DX206" s="4"/>
      <c r="DY206" s="4"/>
      <c r="DZ206" s="4"/>
      <c r="EA206" s="4"/>
      <c r="EB206" s="4"/>
      <c r="EC206" s="4"/>
      <c r="ED206" s="4"/>
    </row>
    <row r="207" spans="2:134" ht="30" customHeight="1" thickBot="1" x14ac:dyDescent="0.35">
      <c r="B207" s="62" t="s">
        <v>130</v>
      </c>
      <c r="C207" s="13" t="s">
        <v>38</v>
      </c>
      <c r="D207" s="30">
        <v>0</v>
      </c>
      <c r="E207" s="49">
        <f>F205</f>
        <v>46405</v>
      </c>
      <c r="F207" s="49">
        <f>E207</f>
        <v>46405</v>
      </c>
      <c r="G207" s="29"/>
      <c r="H207" s="29">
        <f t="shared" si="75"/>
        <v>1</v>
      </c>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row>
    <row r="208" spans="2:134" ht="30" customHeight="1" thickBot="1" x14ac:dyDescent="0.35">
      <c r="B208" s="27" t="s">
        <v>137</v>
      </c>
      <c r="C208" s="12" t="s">
        <v>38</v>
      </c>
      <c r="D208" s="28"/>
      <c r="E208" s="47"/>
      <c r="F208" s="48"/>
      <c r="G208" s="29"/>
      <c r="H208" s="29" t="str">
        <f t="shared" si="75"/>
        <v/>
      </c>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row>
    <row r="209" spans="2:134" ht="30" customHeight="1" thickBot="1" x14ac:dyDescent="0.35">
      <c r="B209" s="62" t="s">
        <v>138</v>
      </c>
      <c r="C209" s="13" t="s">
        <v>38</v>
      </c>
      <c r="D209" s="30">
        <v>0</v>
      </c>
      <c r="E209" s="49">
        <f>F207+1</f>
        <v>46406</v>
      </c>
      <c r="F209" s="49">
        <f>E209</f>
        <v>46406</v>
      </c>
      <c r="G209" s="29"/>
      <c r="H209" s="29">
        <f t="shared" si="75"/>
        <v>1</v>
      </c>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row>
    <row r="210" spans="2:134" ht="30" customHeight="1" thickBot="1" x14ac:dyDescent="0.35">
      <c r="B210" s="62" t="s">
        <v>139</v>
      </c>
      <c r="C210" s="13" t="s">
        <v>38</v>
      </c>
      <c r="D210" s="30">
        <v>0</v>
      </c>
      <c r="E210" s="49">
        <f>F209</f>
        <v>46406</v>
      </c>
      <c r="F210" s="49">
        <f>E210</f>
        <v>46406</v>
      </c>
      <c r="G210" s="29"/>
      <c r="H210" s="29">
        <f t="shared" si="75"/>
        <v>1</v>
      </c>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row>
    <row r="211" spans="2:134" ht="30" customHeight="1" thickBot="1" x14ac:dyDescent="0.35">
      <c r="B211" s="57" t="s">
        <v>140</v>
      </c>
      <c r="C211" s="54" t="s">
        <v>38</v>
      </c>
      <c r="D211" s="55"/>
      <c r="E211" s="56"/>
      <c r="F211" s="56"/>
      <c r="G211" s="29"/>
      <c r="H211" s="29" t="str">
        <f t="shared" si="75"/>
        <v/>
      </c>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row>
    <row r="212" spans="2:134" ht="30" customHeight="1" thickBot="1" x14ac:dyDescent="0.35">
      <c r="B212" s="27" t="s">
        <v>141</v>
      </c>
      <c r="C212" s="12" t="s">
        <v>38</v>
      </c>
      <c r="D212" s="28"/>
      <c r="E212" s="47"/>
      <c r="F212" s="48"/>
      <c r="G212" s="29"/>
      <c r="H212" s="29" t="str">
        <f t="shared" si="75"/>
        <v/>
      </c>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row>
    <row r="213" spans="2:134" ht="30" customHeight="1" thickBot="1" x14ac:dyDescent="0.35">
      <c r="B213" s="62" t="s">
        <v>142</v>
      </c>
      <c r="C213" s="13" t="s">
        <v>38</v>
      </c>
      <c r="D213" s="30">
        <v>0</v>
      </c>
      <c r="E213" s="49">
        <f>F210</f>
        <v>46406</v>
      </c>
      <c r="F213" s="49">
        <f>E213</f>
        <v>46406</v>
      </c>
      <c r="G213" s="29"/>
      <c r="H213" s="29">
        <f t="shared" si="75"/>
        <v>1</v>
      </c>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row>
    <row r="214" spans="2:134" ht="30" customHeight="1" thickBot="1" x14ac:dyDescent="0.35">
      <c r="B214" s="62" t="s">
        <v>143</v>
      </c>
      <c r="C214" s="13" t="s">
        <v>38</v>
      </c>
      <c r="D214" s="30">
        <v>0</v>
      </c>
      <c r="E214" s="49">
        <f>F213</f>
        <v>46406</v>
      </c>
      <c r="F214" s="49">
        <f>E214</f>
        <v>46406</v>
      </c>
      <c r="G214" s="29"/>
      <c r="H214" s="29">
        <f t="shared" si="75"/>
        <v>1</v>
      </c>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row>
    <row r="215" spans="2:134" ht="30" customHeight="1" thickBot="1" x14ac:dyDescent="0.35">
      <c r="B215" s="27" t="s">
        <v>144</v>
      </c>
      <c r="C215" s="12" t="s">
        <v>38</v>
      </c>
      <c r="D215" s="28"/>
      <c r="E215" s="47"/>
      <c r="F215" s="48"/>
      <c r="G215" s="29"/>
      <c r="H215" s="29" t="str">
        <f t="shared" ref="H215:H274" si="76">IF(OR(ISBLANK(タスク_開始),ISBLANK(タスク_終了)),"",タスク_終了-タスク_開始+1)</f>
        <v/>
      </c>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row>
    <row r="216" spans="2:134" ht="30" customHeight="1" thickBot="1" x14ac:dyDescent="0.35">
      <c r="B216" s="62" t="s">
        <v>145</v>
      </c>
      <c r="C216" s="13" t="s">
        <v>38</v>
      </c>
      <c r="D216" s="30">
        <v>0</v>
      </c>
      <c r="E216" s="49">
        <f>F214</f>
        <v>46406</v>
      </c>
      <c r="F216" s="49">
        <f>E216</f>
        <v>46406</v>
      </c>
      <c r="G216" s="29"/>
      <c r="H216" s="29">
        <f t="shared" si="76"/>
        <v>1</v>
      </c>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row>
    <row r="217" spans="2:134" ht="30" customHeight="1" thickBot="1" x14ac:dyDescent="0.35">
      <c r="B217" s="62" t="s">
        <v>146</v>
      </c>
      <c r="C217" s="13" t="s">
        <v>38</v>
      </c>
      <c r="D217" s="30">
        <v>0</v>
      </c>
      <c r="E217" s="49">
        <f>F216</f>
        <v>46406</v>
      </c>
      <c r="F217" s="49">
        <f>E217</f>
        <v>46406</v>
      </c>
      <c r="G217" s="29"/>
      <c r="H217" s="29">
        <f t="shared" si="76"/>
        <v>1</v>
      </c>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row>
    <row r="218" spans="2:134" ht="30" customHeight="1" thickBot="1" x14ac:dyDescent="0.35">
      <c r="B218" s="27" t="s">
        <v>147</v>
      </c>
      <c r="C218" s="12" t="s">
        <v>38</v>
      </c>
      <c r="D218" s="28"/>
      <c r="E218" s="47"/>
      <c r="F218" s="48"/>
      <c r="G218" s="29"/>
      <c r="H218" s="29" t="str">
        <f t="shared" si="76"/>
        <v/>
      </c>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row>
    <row r="219" spans="2:134" ht="30" customHeight="1" thickBot="1" x14ac:dyDescent="0.35">
      <c r="B219" s="62" t="s">
        <v>148</v>
      </c>
      <c r="C219" s="13" t="s">
        <v>38</v>
      </c>
      <c r="D219" s="30">
        <v>0</v>
      </c>
      <c r="E219" s="49">
        <f>F217</f>
        <v>46406</v>
      </c>
      <c r="F219" s="49">
        <f>E219</f>
        <v>46406</v>
      </c>
      <c r="G219" s="29"/>
      <c r="H219" s="29">
        <f t="shared" si="76"/>
        <v>1</v>
      </c>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row>
    <row r="220" spans="2:134" ht="30" customHeight="1" thickBot="1" x14ac:dyDescent="0.35">
      <c r="B220" s="62" t="s">
        <v>149</v>
      </c>
      <c r="C220" s="13" t="s">
        <v>38</v>
      </c>
      <c r="D220" s="30">
        <v>0</v>
      </c>
      <c r="E220" s="49">
        <f>F219</f>
        <v>46406</v>
      </c>
      <c r="F220" s="49">
        <f>E220</f>
        <v>46406</v>
      </c>
      <c r="G220" s="29"/>
      <c r="H220" s="29">
        <f t="shared" si="76"/>
        <v>1</v>
      </c>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row>
    <row r="221" spans="2:134" ht="30" customHeight="1" thickBot="1" x14ac:dyDescent="0.35">
      <c r="B221" s="27" t="s">
        <v>150</v>
      </c>
      <c r="C221" s="12" t="s">
        <v>38</v>
      </c>
      <c r="D221" s="28"/>
      <c r="E221" s="47"/>
      <c r="F221" s="48"/>
      <c r="G221" s="29"/>
      <c r="H221" s="29" t="str">
        <f t="shared" si="76"/>
        <v/>
      </c>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row>
    <row r="222" spans="2:134" ht="30" customHeight="1" thickBot="1" x14ac:dyDescent="0.35">
      <c r="B222" s="62" t="s">
        <v>151</v>
      </c>
      <c r="C222" s="13" t="s">
        <v>38</v>
      </c>
      <c r="D222" s="30">
        <v>0</v>
      </c>
      <c r="E222" s="49">
        <f>F220</f>
        <v>46406</v>
      </c>
      <c r="F222" s="49">
        <f>E222</f>
        <v>46406</v>
      </c>
      <c r="G222" s="29"/>
      <c r="H222" s="29">
        <f t="shared" si="76"/>
        <v>1</v>
      </c>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row>
    <row r="223" spans="2:134" ht="30" customHeight="1" thickBot="1" x14ac:dyDescent="0.35">
      <c r="B223" s="62" t="s">
        <v>152</v>
      </c>
      <c r="C223" s="13" t="s">
        <v>38</v>
      </c>
      <c r="D223" s="30">
        <v>0</v>
      </c>
      <c r="E223" s="49">
        <f>F222</f>
        <v>46406</v>
      </c>
      <c r="F223" s="78">
        <f>E223</f>
        <v>46406</v>
      </c>
      <c r="G223" s="29"/>
      <c r="H223" s="29">
        <f t="shared" si="76"/>
        <v>1</v>
      </c>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row>
    <row r="224" spans="2:134" ht="30" customHeight="1" thickBot="1" x14ac:dyDescent="0.35">
      <c r="B224" s="27" t="s">
        <v>153</v>
      </c>
      <c r="C224" s="12" t="s">
        <v>38</v>
      </c>
      <c r="D224" s="28"/>
      <c r="E224" s="47"/>
      <c r="F224" s="48"/>
      <c r="G224" s="29"/>
      <c r="H224" s="29" t="str">
        <f t="shared" si="76"/>
        <v/>
      </c>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row>
    <row r="225" spans="2:134" ht="30" customHeight="1" thickBot="1" x14ac:dyDescent="0.35">
      <c r="B225" s="62" t="s">
        <v>154</v>
      </c>
      <c r="C225" s="13" t="s">
        <v>38</v>
      </c>
      <c r="D225" s="30">
        <v>0</v>
      </c>
      <c r="E225" s="49">
        <f>F223+1</f>
        <v>46407</v>
      </c>
      <c r="F225" s="49">
        <f>E225</f>
        <v>46407</v>
      </c>
      <c r="G225" s="29"/>
      <c r="H225" s="29">
        <f t="shared" si="76"/>
        <v>1</v>
      </c>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row>
    <row r="226" spans="2:134" ht="30" customHeight="1" thickBot="1" x14ac:dyDescent="0.35">
      <c r="B226" s="62" t="s">
        <v>155</v>
      </c>
      <c r="C226" s="13" t="s">
        <v>38</v>
      </c>
      <c r="D226" s="30">
        <v>0</v>
      </c>
      <c r="E226" s="49">
        <f>F225</f>
        <v>46407</v>
      </c>
      <c r="F226" s="49">
        <f>E226</f>
        <v>46407</v>
      </c>
      <c r="G226" s="29"/>
      <c r="H226" s="29">
        <f t="shared" si="76"/>
        <v>1</v>
      </c>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row>
    <row r="227" spans="2:134" ht="30" customHeight="1" thickBot="1" x14ac:dyDescent="0.35">
      <c r="B227" s="27" t="s">
        <v>223</v>
      </c>
      <c r="C227" s="12" t="s">
        <v>38</v>
      </c>
      <c r="D227" s="28"/>
      <c r="E227" s="47"/>
      <c r="F227" s="48"/>
      <c r="G227" s="29"/>
      <c r="H227" s="29" t="str">
        <f t="shared" si="76"/>
        <v/>
      </c>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row>
    <row r="228" spans="2:134" ht="30" customHeight="1" thickBot="1" x14ac:dyDescent="0.35">
      <c r="B228" s="62" t="s">
        <v>224</v>
      </c>
      <c r="C228" s="13" t="s">
        <v>38</v>
      </c>
      <c r="D228" s="30">
        <v>0</v>
      </c>
      <c r="E228" s="49">
        <f>F226</f>
        <v>46407</v>
      </c>
      <c r="F228" s="49">
        <f>E228</f>
        <v>46407</v>
      </c>
      <c r="G228" s="29"/>
      <c r="H228" s="29">
        <f t="shared" si="76"/>
        <v>1</v>
      </c>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row>
    <row r="229" spans="2:134" ht="30" customHeight="1" thickBot="1" x14ac:dyDescent="0.35">
      <c r="B229" s="62" t="s">
        <v>225</v>
      </c>
      <c r="C229" s="13" t="s">
        <v>38</v>
      </c>
      <c r="D229" s="30">
        <v>0</v>
      </c>
      <c r="E229" s="49">
        <f>F228</f>
        <v>46407</v>
      </c>
      <c r="F229" s="49">
        <f>E229</f>
        <v>46407</v>
      </c>
      <c r="G229" s="29"/>
      <c r="H229" s="29">
        <f t="shared" si="76"/>
        <v>1</v>
      </c>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row>
    <row r="230" spans="2:134" ht="30" customHeight="1" thickBot="1" x14ac:dyDescent="0.35">
      <c r="B230" s="27" t="s">
        <v>158</v>
      </c>
      <c r="C230" s="12" t="s">
        <v>38</v>
      </c>
      <c r="D230" s="28"/>
      <c r="E230" s="47"/>
      <c r="F230" s="48"/>
      <c r="G230" s="29"/>
      <c r="H230" s="29" t="str">
        <f t="shared" si="76"/>
        <v/>
      </c>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row>
    <row r="231" spans="2:134" ht="30" customHeight="1" thickBot="1" x14ac:dyDescent="0.35">
      <c r="B231" s="62" t="s">
        <v>157</v>
      </c>
      <c r="C231" s="13" t="s">
        <v>38</v>
      </c>
      <c r="D231" s="30">
        <v>0</v>
      </c>
      <c r="E231" s="49">
        <f>F226</f>
        <v>46407</v>
      </c>
      <c r="F231" s="49">
        <f>E231</f>
        <v>46407</v>
      </c>
      <c r="G231" s="29"/>
      <c r="H231" s="29">
        <f t="shared" si="76"/>
        <v>1</v>
      </c>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row>
    <row r="232" spans="2:134" ht="30" customHeight="1" thickBot="1" x14ac:dyDescent="0.35">
      <c r="B232" s="62" t="s">
        <v>156</v>
      </c>
      <c r="C232" s="13" t="s">
        <v>38</v>
      </c>
      <c r="D232" s="30">
        <v>0</v>
      </c>
      <c r="E232" s="49">
        <f>F231</f>
        <v>46407</v>
      </c>
      <c r="F232" s="49">
        <f>E232</f>
        <v>46407</v>
      </c>
      <c r="G232" s="29"/>
      <c r="H232" s="29">
        <f t="shared" si="76"/>
        <v>1</v>
      </c>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row>
    <row r="233" spans="2:134" ht="30" customHeight="1" thickBot="1" x14ac:dyDescent="0.35">
      <c r="B233" s="27" t="s">
        <v>159</v>
      </c>
      <c r="C233" s="12" t="s">
        <v>38</v>
      </c>
      <c r="D233" s="28"/>
      <c r="E233" s="47"/>
      <c r="F233" s="48"/>
      <c r="G233" s="29"/>
      <c r="H233" s="29" t="str">
        <f t="shared" si="76"/>
        <v/>
      </c>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row>
    <row r="234" spans="2:134" ht="30" customHeight="1" thickBot="1" x14ac:dyDescent="0.35">
      <c r="B234" s="62" t="s">
        <v>160</v>
      </c>
      <c r="C234" s="13" t="s">
        <v>38</v>
      </c>
      <c r="D234" s="30">
        <v>0</v>
      </c>
      <c r="E234" s="49">
        <f>F232</f>
        <v>46407</v>
      </c>
      <c r="F234" s="49">
        <f>E234</f>
        <v>46407</v>
      </c>
      <c r="G234" s="29"/>
      <c r="H234" s="29">
        <f t="shared" si="76"/>
        <v>1</v>
      </c>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row>
    <row r="235" spans="2:134" ht="30" customHeight="1" thickBot="1" x14ac:dyDescent="0.35">
      <c r="B235" s="62" t="s">
        <v>161</v>
      </c>
      <c r="C235" s="13" t="s">
        <v>38</v>
      </c>
      <c r="D235" s="30">
        <v>0</v>
      </c>
      <c r="E235" s="49">
        <f>F234</f>
        <v>46407</v>
      </c>
      <c r="F235" s="49">
        <f>E235</f>
        <v>46407</v>
      </c>
      <c r="G235" s="29"/>
      <c r="H235" s="29">
        <f t="shared" si="76"/>
        <v>1</v>
      </c>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row>
    <row r="236" spans="2:134" ht="30" customHeight="1" thickBot="1" x14ac:dyDescent="0.35">
      <c r="B236" s="27" t="s">
        <v>162</v>
      </c>
      <c r="C236" s="12" t="s">
        <v>38</v>
      </c>
      <c r="D236" s="28"/>
      <c r="E236" s="47"/>
      <c r="F236" s="48"/>
      <c r="G236" s="29"/>
      <c r="H236" s="29" t="str">
        <f t="shared" si="76"/>
        <v/>
      </c>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row>
    <row r="237" spans="2:134" ht="30" customHeight="1" thickBot="1" x14ac:dyDescent="0.35">
      <c r="B237" s="62" t="s">
        <v>163</v>
      </c>
      <c r="C237" s="13" t="s">
        <v>38</v>
      </c>
      <c r="D237" s="30">
        <v>0</v>
      </c>
      <c r="E237" s="49">
        <f>F235+1</f>
        <v>46408</v>
      </c>
      <c r="F237" s="49">
        <f>E237</f>
        <v>46408</v>
      </c>
      <c r="G237" s="29"/>
      <c r="H237" s="29">
        <f t="shared" si="76"/>
        <v>1</v>
      </c>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row>
    <row r="238" spans="2:134" ht="30" customHeight="1" thickBot="1" x14ac:dyDescent="0.35">
      <c r="B238" s="62" t="s">
        <v>164</v>
      </c>
      <c r="C238" s="13" t="s">
        <v>38</v>
      </c>
      <c r="D238" s="30">
        <v>0</v>
      </c>
      <c r="E238" s="49">
        <f>F237</f>
        <v>46408</v>
      </c>
      <c r="F238" s="49">
        <f>E238</f>
        <v>46408</v>
      </c>
      <c r="G238" s="29"/>
      <c r="H238" s="29">
        <f t="shared" si="76"/>
        <v>1</v>
      </c>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row>
    <row r="239" spans="2:134" ht="30" customHeight="1" thickBot="1" x14ac:dyDescent="0.35">
      <c r="B239" s="27" t="s">
        <v>165</v>
      </c>
      <c r="C239" s="12" t="s">
        <v>38</v>
      </c>
      <c r="D239" s="28"/>
      <c r="E239" s="47"/>
      <c r="F239" s="48"/>
      <c r="G239" s="29"/>
      <c r="H239" s="29" t="str">
        <f t="shared" si="76"/>
        <v/>
      </c>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row>
    <row r="240" spans="2:134" ht="30" customHeight="1" thickBot="1" x14ac:dyDescent="0.35">
      <c r="B240" s="62" t="s">
        <v>166</v>
      </c>
      <c r="C240" s="13" t="s">
        <v>38</v>
      </c>
      <c r="D240" s="30">
        <v>0</v>
      </c>
      <c r="E240" s="49">
        <f>F238</f>
        <v>46408</v>
      </c>
      <c r="F240" s="49">
        <f>E240</f>
        <v>46408</v>
      </c>
      <c r="G240" s="29"/>
      <c r="H240" s="29">
        <f t="shared" si="76"/>
        <v>1</v>
      </c>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row>
    <row r="241" spans="2:134" ht="30" customHeight="1" thickBot="1" x14ac:dyDescent="0.35">
      <c r="B241" s="62" t="s">
        <v>167</v>
      </c>
      <c r="C241" s="13" t="s">
        <v>38</v>
      </c>
      <c r="D241" s="30">
        <v>0</v>
      </c>
      <c r="E241" s="49">
        <f>F240</f>
        <v>46408</v>
      </c>
      <c r="F241" s="49">
        <f>E241</f>
        <v>46408</v>
      </c>
      <c r="G241" s="29"/>
      <c r="H241" s="29">
        <f t="shared" si="76"/>
        <v>1</v>
      </c>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row>
    <row r="242" spans="2:134" ht="30" customHeight="1" thickBot="1" x14ac:dyDescent="0.35">
      <c r="B242" s="27" t="s">
        <v>168</v>
      </c>
      <c r="C242" s="12" t="s">
        <v>38</v>
      </c>
      <c r="D242" s="28"/>
      <c r="E242" s="47"/>
      <c r="F242" s="48"/>
      <c r="G242" s="29"/>
      <c r="H242" s="29" t="str">
        <f t="shared" si="76"/>
        <v/>
      </c>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row>
    <row r="243" spans="2:134" ht="30" customHeight="1" thickBot="1" x14ac:dyDescent="0.35">
      <c r="B243" s="62" t="s">
        <v>169</v>
      </c>
      <c r="C243" s="13" t="s">
        <v>38</v>
      </c>
      <c r="D243" s="30">
        <v>0</v>
      </c>
      <c r="E243" s="49">
        <f>F241</f>
        <v>46408</v>
      </c>
      <c r="F243" s="49">
        <f>E243</f>
        <v>46408</v>
      </c>
      <c r="G243" s="29"/>
      <c r="H243" s="29">
        <f t="shared" si="76"/>
        <v>1</v>
      </c>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row>
    <row r="244" spans="2:134" ht="30" customHeight="1" thickBot="1" x14ac:dyDescent="0.35">
      <c r="B244" s="62" t="s">
        <v>170</v>
      </c>
      <c r="C244" s="13" t="s">
        <v>38</v>
      </c>
      <c r="D244" s="30">
        <v>0</v>
      </c>
      <c r="E244" s="49">
        <f>F243</f>
        <v>46408</v>
      </c>
      <c r="F244" s="49">
        <f>E244</f>
        <v>46408</v>
      </c>
      <c r="G244" s="29"/>
      <c r="H244" s="29">
        <f t="shared" si="76"/>
        <v>1</v>
      </c>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row>
    <row r="245" spans="2:134" ht="30" customHeight="1" thickBot="1" x14ac:dyDescent="0.35">
      <c r="B245" s="27" t="s">
        <v>171</v>
      </c>
      <c r="C245" s="12" t="s">
        <v>38</v>
      </c>
      <c r="D245" s="28"/>
      <c r="E245" s="47"/>
      <c r="F245" s="48"/>
      <c r="G245" s="29"/>
      <c r="H245" s="29" t="str">
        <f t="shared" si="76"/>
        <v/>
      </c>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row>
    <row r="246" spans="2:134" ht="30" customHeight="1" thickBot="1" x14ac:dyDescent="0.35">
      <c r="B246" s="62" t="s">
        <v>172</v>
      </c>
      <c r="C246" s="13" t="s">
        <v>38</v>
      </c>
      <c r="D246" s="30">
        <v>0</v>
      </c>
      <c r="E246" s="49">
        <f>F244</f>
        <v>46408</v>
      </c>
      <c r="F246" s="49">
        <f>E246</f>
        <v>46408</v>
      </c>
      <c r="G246" s="29"/>
      <c r="H246" s="29">
        <f t="shared" si="76"/>
        <v>1</v>
      </c>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row>
    <row r="247" spans="2:134" ht="30" customHeight="1" thickBot="1" x14ac:dyDescent="0.35">
      <c r="B247" s="62" t="s">
        <v>173</v>
      </c>
      <c r="C247" s="13" t="s">
        <v>38</v>
      </c>
      <c r="D247" s="30">
        <v>0</v>
      </c>
      <c r="E247" s="49">
        <f>F246</f>
        <v>46408</v>
      </c>
      <c r="F247" s="49">
        <f>E247</f>
        <v>46408</v>
      </c>
      <c r="G247" s="29"/>
      <c r="H247" s="29">
        <f t="shared" si="76"/>
        <v>1</v>
      </c>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row>
    <row r="248" spans="2:134" ht="30" customHeight="1" thickBot="1" x14ac:dyDescent="0.35">
      <c r="B248" s="57" t="s">
        <v>174</v>
      </c>
      <c r="C248" s="54" t="s">
        <v>38</v>
      </c>
      <c r="D248" s="55"/>
      <c r="E248" s="56"/>
      <c r="F248" s="56"/>
      <c r="G248" s="29"/>
      <c r="H248" s="29" t="str">
        <f t="shared" si="76"/>
        <v/>
      </c>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row>
    <row r="249" spans="2:134" ht="30" customHeight="1" thickBot="1" x14ac:dyDescent="0.35">
      <c r="B249" s="27" t="s">
        <v>175</v>
      </c>
      <c r="C249" s="12" t="s">
        <v>38</v>
      </c>
      <c r="D249" s="28"/>
      <c r="E249" s="47"/>
      <c r="F249" s="48"/>
      <c r="G249" s="29"/>
      <c r="H249" s="29" t="str">
        <f t="shared" si="76"/>
        <v/>
      </c>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row>
    <row r="250" spans="2:134" ht="30" customHeight="1" thickBot="1" x14ac:dyDescent="0.35">
      <c r="B250" s="62" t="s">
        <v>176</v>
      </c>
      <c r="C250" s="13" t="s">
        <v>38</v>
      </c>
      <c r="D250" s="30">
        <v>0</v>
      </c>
      <c r="E250" s="49">
        <f>F247+1</f>
        <v>46409</v>
      </c>
      <c r="F250" s="49">
        <f>E250</f>
        <v>46409</v>
      </c>
      <c r="G250" s="29"/>
      <c r="H250" s="29">
        <f t="shared" si="76"/>
        <v>1</v>
      </c>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row>
    <row r="251" spans="2:134" ht="30" customHeight="1" thickBot="1" x14ac:dyDescent="0.35">
      <c r="B251" s="63" t="s">
        <v>203</v>
      </c>
      <c r="C251" s="64" t="s">
        <v>38</v>
      </c>
      <c r="D251" s="65"/>
      <c r="E251" s="66"/>
      <c r="F251" s="66"/>
      <c r="G251" s="29"/>
      <c r="H251" s="29" t="str">
        <f t="shared" si="76"/>
        <v/>
      </c>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row>
    <row r="252" spans="2:134" ht="30" customHeight="1" thickBot="1" x14ac:dyDescent="0.35">
      <c r="B252" s="70" t="s">
        <v>204</v>
      </c>
      <c r="C252" s="67" t="s">
        <v>38</v>
      </c>
      <c r="D252" s="68"/>
      <c r="E252" s="69"/>
      <c r="F252" s="69"/>
      <c r="G252" s="29"/>
      <c r="H252" s="29" t="str">
        <f t="shared" si="76"/>
        <v/>
      </c>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row>
    <row r="253" spans="2:134" ht="30" customHeight="1" thickBot="1" x14ac:dyDescent="0.35">
      <c r="B253" s="74" t="s">
        <v>205</v>
      </c>
      <c r="C253" s="71" t="s">
        <v>38</v>
      </c>
      <c r="D253" s="72"/>
      <c r="E253" s="73"/>
      <c r="F253" s="73"/>
      <c r="G253" s="29"/>
      <c r="H253" s="29" t="str">
        <f t="shared" si="76"/>
        <v/>
      </c>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row>
    <row r="254" spans="2:134" ht="30" customHeight="1" thickBot="1" x14ac:dyDescent="0.35">
      <c r="B254" s="16" t="s">
        <v>206</v>
      </c>
      <c r="C254" s="14" t="s">
        <v>38</v>
      </c>
      <c r="D254" s="31">
        <v>0</v>
      </c>
      <c r="E254" s="50">
        <f>F250</f>
        <v>46409</v>
      </c>
      <c r="F254" s="50">
        <f>E254+3</f>
        <v>46412</v>
      </c>
      <c r="G254" s="29"/>
      <c r="H254" s="29">
        <f t="shared" si="76"/>
        <v>4</v>
      </c>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row>
    <row r="255" spans="2:134" ht="30" customHeight="1" thickBot="1" x14ac:dyDescent="0.35">
      <c r="B255" s="16" t="s">
        <v>207</v>
      </c>
      <c r="C255" s="14" t="s">
        <v>38</v>
      </c>
      <c r="D255" s="31">
        <v>0</v>
      </c>
      <c r="E255" s="50">
        <f>F254</f>
        <v>46412</v>
      </c>
      <c r="F255" s="50">
        <f>E255+1</f>
        <v>46413</v>
      </c>
      <c r="G255" s="29"/>
      <c r="H255" s="29">
        <f t="shared" si="76"/>
        <v>2</v>
      </c>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row>
    <row r="256" spans="2:134" ht="30" customHeight="1" thickBot="1" x14ac:dyDescent="0.35">
      <c r="B256" s="74" t="s">
        <v>208</v>
      </c>
      <c r="C256" s="71" t="s">
        <v>38</v>
      </c>
      <c r="D256" s="72"/>
      <c r="E256" s="73"/>
      <c r="F256" s="73"/>
      <c r="G256" s="29"/>
      <c r="H256" s="29" t="str">
        <f t="shared" si="76"/>
        <v/>
      </c>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row>
    <row r="257" spans="2:134" ht="30" customHeight="1" thickBot="1" x14ac:dyDescent="0.35">
      <c r="B257" s="75" t="s">
        <v>209</v>
      </c>
      <c r="C257" s="14" t="s">
        <v>38</v>
      </c>
      <c r="D257" s="31">
        <v>0</v>
      </c>
      <c r="E257" s="50">
        <f>F255</f>
        <v>46413</v>
      </c>
      <c r="F257" s="50">
        <f>E257+1</f>
        <v>46414</v>
      </c>
      <c r="G257" s="29"/>
      <c r="H257" s="29">
        <f t="shared" si="76"/>
        <v>2</v>
      </c>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row>
    <row r="258" spans="2:134" ht="30" customHeight="1" thickBot="1" x14ac:dyDescent="0.35">
      <c r="B258" s="79" t="s">
        <v>207</v>
      </c>
      <c r="C258" s="14" t="s">
        <v>38</v>
      </c>
      <c r="D258" s="31">
        <v>0</v>
      </c>
      <c r="E258" s="50">
        <f>E257+1</f>
        <v>46414</v>
      </c>
      <c r="F258" s="50">
        <f>E258+1</f>
        <v>46415</v>
      </c>
      <c r="G258" s="29"/>
      <c r="H258" s="29">
        <f t="shared" si="76"/>
        <v>2</v>
      </c>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row>
    <row r="259" spans="2:134" ht="30" customHeight="1" thickBot="1" x14ac:dyDescent="0.35">
      <c r="B259" s="74" t="s">
        <v>210</v>
      </c>
      <c r="C259" s="71" t="s">
        <v>38</v>
      </c>
      <c r="D259" s="72"/>
      <c r="E259" s="73"/>
      <c r="F259" s="73"/>
      <c r="G259" s="29"/>
      <c r="H259" s="29" t="str">
        <f t="shared" si="76"/>
        <v/>
      </c>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row>
    <row r="260" spans="2:134" ht="30" customHeight="1" thickBot="1" x14ac:dyDescent="0.35">
      <c r="B260" s="75" t="s">
        <v>211</v>
      </c>
      <c r="C260" s="14" t="s">
        <v>38</v>
      </c>
      <c r="D260" s="31">
        <v>0</v>
      </c>
      <c r="E260" s="50">
        <f>F258</f>
        <v>46415</v>
      </c>
      <c r="F260" s="50">
        <f>E260+1</f>
        <v>46416</v>
      </c>
      <c r="G260" s="29"/>
      <c r="H260" s="29">
        <f t="shared" si="76"/>
        <v>2</v>
      </c>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row>
    <row r="261" spans="2:134" ht="30" customHeight="1" thickBot="1" x14ac:dyDescent="0.35">
      <c r="B261" s="79" t="s">
        <v>207</v>
      </c>
      <c r="C261" s="14" t="s">
        <v>38</v>
      </c>
      <c r="D261" s="31">
        <v>0</v>
      </c>
      <c r="E261" s="50">
        <f>F260</f>
        <v>46416</v>
      </c>
      <c r="F261" s="50">
        <f>E261+1</f>
        <v>46417</v>
      </c>
      <c r="G261" s="29"/>
      <c r="H261" s="29">
        <f t="shared" si="76"/>
        <v>2</v>
      </c>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row>
    <row r="262" spans="2:134" ht="30" customHeight="1" thickBot="1" x14ac:dyDescent="0.35">
      <c r="B262" s="70" t="s">
        <v>212</v>
      </c>
      <c r="C262" s="67" t="s">
        <v>38</v>
      </c>
      <c r="D262" s="68"/>
      <c r="E262" s="69"/>
      <c r="F262" s="69"/>
      <c r="G262" s="29"/>
      <c r="H262" s="29" t="str">
        <f t="shared" si="76"/>
        <v/>
      </c>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row>
    <row r="263" spans="2:134" ht="30" customHeight="1" thickBot="1" x14ac:dyDescent="0.35">
      <c r="B263" s="76" t="s">
        <v>213</v>
      </c>
      <c r="C263" s="71" t="s">
        <v>38</v>
      </c>
      <c r="D263" s="72"/>
      <c r="E263" s="73"/>
      <c r="F263" s="73"/>
      <c r="G263" s="29"/>
      <c r="H263" s="29" t="str">
        <f t="shared" si="76"/>
        <v/>
      </c>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row>
    <row r="264" spans="2:134" ht="30" customHeight="1" thickBot="1" x14ac:dyDescent="0.35">
      <c r="B264" s="75" t="s">
        <v>214</v>
      </c>
      <c r="C264" s="14" t="s">
        <v>38</v>
      </c>
      <c r="D264" s="31">
        <v>0</v>
      </c>
      <c r="E264" s="50">
        <f>F261</f>
        <v>46417</v>
      </c>
      <c r="F264" s="50">
        <f>E264</f>
        <v>46417</v>
      </c>
      <c r="G264" s="29"/>
      <c r="H264" s="29">
        <f t="shared" si="76"/>
        <v>1</v>
      </c>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row>
    <row r="265" spans="2:134" ht="30" customHeight="1" thickBot="1" x14ac:dyDescent="0.35">
      <c r="B265" s="74" t="s">
        <v>215</v>
      </c>
      <c r="C265" s="71" t="s">
        <v>38</v>
      </c>
      <c r="D265" s="72"/>
      <c r="E265" s="73"/>
      <c r="F265" s="73"/>
      <c r="G265" s="29"/>
      <c r="H265" s="29" t="str">
        <f t="shared" si="76"/>
        <v/>
      </c>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row>
    <row r="266" spans="2:134" ht="30" customHeight="1" thickBot="1" x14ac:dyDescent="0.35">
      <c r="B266" s="75" t="s">
        <v>216</v>
      </c>
      <c r="C266" s="14" t="s">
        <v>38</v>
      </c>
      <c r="D266" s="31">
        <v>0</v>
      </c>
      <c r="E266" s="50">
        <f>F264</f>
        <v>46417</v>
      </c>
      <c r="F266" s="50">
        <f>E266+1</f>
        <v>46418</v>
      </c>
      <c r="G266" s="29"/>
      <c r="H266" s="29">
        <f t="shared" si="76"/>
        <v>2</v>
      </c>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row>
    <row r="267" spans="2:134" ht="30" customHeight="1" thickBot="1" x14ac:dyDescent="0.35">
      <c r="B267" s="76" t="s">
        <v>59</v>
      </c>
      <c r="C267" s="71" t="s">
        <v>38</v>
      </c>
      <c r="D267" s="72"/>
      <c r="E267" s="73"/>
      <c r="F267" s="73"/>
      <c r="G267" s="29"/>
      <c r="H267" s="29" t="str">
        <f t="shared" si="76"/>
        <v/>
      </c>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row>
    <row r="268" spans="2:134" ht="30" customHeight="1" thickBot="1" x14ac:dyDescent="0.35">
      <c r="B268" s="75" t="s">
        <v>217</v>
      </c>
      <c r="C268" s="14" t="s">
        <v>38</v>
      </c>
      <c r="D268" s="31">
        <v>0</v>
      </c>
      <c r="E268" s="50">
        <f>F266</f>
        <v>46418</v>
      </c>
      <c r="F268" s="50">
        <f>E268+1</f>
        <v>46419</v>
      </c>
      <c r="G268" s="29"/>
      <c r="H268" s="29">
        <f t="shared" si="76"/>
        <v>2</v>
      </c>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row>
    <row r="269" spans="2:134" ht="30" customHeight="1" thickBot="1" x14ac:dyDescent="0.35">
      <c r="B269" s="75" t="s">
        <v>220</v>
      </c>
      <c r="C269" s="14" t="s">
        <v>38</v>
      </c>
      <c r="D269" s="31">
        <v>0</v>
      </c>
      <c r="E269" s="50">
        <f>F268</f>
        <v>46419</v>
      </c>
      <c r="F269" s="50">
        <f>E269</f>
        <v>46419</v>
      </c>
      <c r="G269" s="29"/>
      <c r="H269" s="29">
        <f t="shared" si="76"/>
        <v>1</v>
      </c>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row>
    <row r="270" spans="2:134" ht="30" customHeight="1" thickBot="1" x14ac:dyDescent="0.35">
      <c r="B270" s="74" t="s">
        <v>218</v>
      </c>
      <c r="C270" s="71" t="s">
        <v>38</v>
      </c>
      <c r="D270" s="72"/>
      <c r="E270" s="73"/>
      <c r="F270" s="73"/>
      <c r="G270" s="29"/>
      <c r="H270" s="29" t="str">
        <f t="shared" si="76"/>
        <v/>
      </c>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row>
    <row r="271" spans="2:134" ht="30" customHeight="1" thickBot="1" x14ac:dyDescent="0.35">
      <c r="B271" s="75" t="s">
        <v>219</v>
      </c>
      <c r="C271" s="14" t="s">
        <v>38</v>
      </c>
      <c r="D271" s="31">
        <v>0</v>
      </c>
      <c r="E271" s="50">
        <f>F269</f>
        <v>46419</v>
      </c>
      <c r="F271" s="50">
        <f>E271+1</f>
        <v>46420</v>
      </c>
      <c r="G271" s="29"/>
      <c r="H271" s="29">
        <f t="shared" si="76"/>
        <v>2</v>
      </c>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row>
    <row r="272" spans="2:134" ht="30" customHeight="1" thickBot="1" x14ac:dyDescent="0.35">
      <c r="B272" s="74" t="s">
        <v>221</v>
      </c>
      <c r="C272" s="71" t="s">
        <v>38</v>
      </c>
      <c r="D272" s="72"/>
      <c r="E272" s="73"/>
      <c r="F272" s="73"/>
      <c r="G272" s="29"/>
      <c r="H272" s="29" t="str">
        <f t="shared" si="76"/>
        <v/>
      </c>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row>
    <row r="273" spans="2:134" ht="30" customHeight="1" thickBot="1" x14ac:dyDescent="0.35">
      <c r="B273" s="75" t="s">
        <v>222</v>
      </c>
      <c r="C273" s="14" t="s">
        <v>38</v>
      </c>
      <c r="D273" s="31">
        <v>0</v>
      </c>
      <c r="E273" s="50">
        <f>F271</f>
        <v>46420</v>
      </c>
      <c r="F273" s="50">
        <f>E273+1</f>
        <v>46421</v>
      </c>
      <c r="G273" s="29"/>
      <c r="H273" s="29">
        <f t="shared" si="76"/>
        <v>2</v>
      </c>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row>
    <row r="274" spans="2:134" ht="30" customHeight="1" thickBot="1" x14ac:dyDescent="0.35">
      <c r="B274" s="74" t="s">
        <v>268</v>
      </c>
      <c r="C274" s="71" t="s">
        <v>38</v>
      </c>
      <c r="D274" s="72"/>
      <c r="E274" s="73"/>
      <c r="F274" s="73"/>
      <c r="G274" s="29"/>
      <c r="H274" s="29" t="str">
        <f t="shared" si="76"/>
        <v/>
      </c>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row>
    <row r="275" spans="2:134" ht="30" customHeight="1" thickBot="1" x14ac:dyDescent="0.35">
      <c r="B275" s="80" t="s">
        <v>247</v>
      </c>
      <c r="C275" s="14" t="s">
        <v>38</v>
      </c>
      <c r="D275" s="31">
        <v>0</v>
      </c>
      <c r="E275" s="50">
        <f>F273</f>
        <v>46421</v>
      </c>
      <c r="F275" s="50">
        <f>E275+2</f>
        <v>46423</v>
      </c>
      <c r="G275" s="29"/>
      <c r="H275" s="29">
        <f t="shared" ref="H275:H276" si="77">IF(OR(ISBLANK(タスク_開始),ISBLANK(タスク_終了)),"",タスク_終了-タスク_開始+1)</f>
        <v>3</v>
      </c>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row>
    <row r="276" spans="2:134" ht="30" customHeight="1" thickBot="1" x14ac:dyDescent="0.35">
      <c r="B276" s="80" t="s">
        <v>269</v>
      </c>
      <c r="C276" s="14" t="s">
        <v>38</v>
      </c>
      <c r="D276" s="31">
        <v>0</v>
      </c>
      <c r="E276" s="50">
        <f>E275</f>
        <v>46421</v>
      </c>
      <c r="F276" s="50">
        <f>E276+2</f>
        <v>46423</v>
      </c>
      <c r="G276" s="29"/>
      <c r="H276" s="29">
        <f t="shared" si="77"/>
        <v>3</v>
      </c>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row>
    <row r="278" spans="2:134" ht="30" customHeight="1" x14ac:dyDescent="0.3">
      <c r="C278" s="32"/>
      <c r="F278" s="33"/>
    </row>
    <row r="279" spans="2:134" ht="30" customHeight="1" x14ac:dyDescent="0.3">
      <c r="C279" s="34"/>
    </row>
  </sheetData>
  <mergeCells count="21">
    <mergeCell ref="BF4:BL4"/>
    <mergeCell ref="E3:F3"/>
    <mergeCell ref="I4:O4"/>
    <mergeCell ref="P4:V4"/>
    <mergeCell ref="W4:AC4"/>
    <mergeCell ref="AD4:AJ4"/>
    <mergeCell ref="C3:D3"/>
    <mergeCell ref="C4:D4"/>
    <mergeCell ref="AK4:AQ4"/>
    <mergeCell ref="AR4:AX4"/>
    <mergeCell ref="AY4:BE4"/>
    <mergeCell ref="BM4:BS4"/>
    <mergeCell ref="BT4:BZ4"/>
    <mergeCell ref="CA4:CG4"/>
    <mergeCell ref="CH4:CN4"/>
    <mergeCell ref="CO4:CU4"/>
    <mergeCell ref="CV4:DB4"/>
    <mergeCell ref="DC4:DI4"/>
    <mergeCell ref="DJ4:DP4"/>
    <mergeCell ref="DQ4:DW4"/>
    <mergeCell ref="DX4:ED4"/>
  </mergeCells>
  <phoneticPr fontId="28"/>
  <conditionalFormatting sqref="D7:D13 D38 D40 D42 D251:D255 D261 D44">
    <cfRule type="dataBar" priority="29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EC276">
    <cfRule type="expression" dxfId="5" priority="316">
      <formula>AND(TODAY()&gt;=I$5,TODAY()&lt;J$5)</formula>
    </cfRule>
  </conditionalFormatting>
  <conditionalFormatting sqref="I7:EC276">
    <cfRule type="expression" dxfId="4" priority="310">
      <formula>AND(タスク_開始&lt;=I$5,ROUNDDOWN((タスク_終了-タスク_開始+1)*タスク_進捗状況,0)+タスク_開始-1&gt;=I$5)</formula>
    </cfRule>
    <cfRule type="expression" dxfId="3" priority="311" stopIfTrue="1">
      <formula>AND(タスク_終了&gt;=I$5,タスク_開始&lt;J$5)</formula>
    </cfRule>
  </conditionalFormatting>
  <conditionalFormatting sqref="D14:D16">
    <cfRule type="dataBar" priority="283">
      <dataBar>
        <cfvo type="num" val="0"/>
        <cfvo type="num" val="1"/>
        <color theme="0" tint="-0.249977111117893"/>
      </dataBar>
      <extLst>
        <ext xmlns:x14="http://schemas.microsoft.com/office/spreadsheetml/2009/9/main" uri="{B025F937-C7B1-47D3-B67F-A62EFF666E3E}">
          <x14:id>{87C5E010-8310-4FB4-A168-D10427671A89}</x14:id>
        </ext>
      </extLst>
    </cfRule>
  </conditionalFormatting>
  <conditionalFormatting sqref="D17:D18">
    <cfRule type="dataBar" priority="282">
      <dataBar>
        <cfvo type="num" val="0"/>
        <cfvo type="num" val="1"/>
        <color theme="0" tint="-0.249977111117893"/>
      </dataBar>
      <extLst>
        <ext xmlns:x14="http://schemas.microsoft.com/office/spreadsheetml/2009/9/main" uri="{B025F937-C7B1-47D3-B67F-A62EFF666E3E}">
          <x14:id>{7C1C6A69-4235-4A53-9380-601594FBCD7D}</x14:id>
        </ext>
      </extLst>
    </cfRule>
  </conditionalFormatting>
  <conditionalFormatting sqref="D19:D21">
    <cfRule type="dataBar" priority="281">
      <dataBar>
        <cfvo type="num" val="0"/>
        <cfvo type="num" val="1"/>
        <color theme="0" tint="-0.249977111117893"/>
      </dataBar>
      <extLst>
        <ext xmlns:x14="http://schemas.microsoft.com/office/spreadsheetml/2009/9/main" uri="{B025F937-C7B1-47D3-B67F-A62EFF666E3E}">
          <x14:id>{AC3CB475-19DC-4CB9-B67C-84DB32F13110}</x14:id>
        </ext>
      </extLst>
    </cfRule>
  </conditionalFormatting>
  <conditionalFormatting sqref="D23">
    <cfRule type="dataBar" priority="280">
      <dataBar>
        <cfvo type="num" val="0"/>
        <cfvo type="num" val="1"/>
        <color theme="0" tint="-0.249977111117893"/>
      </dataBar>
      <extLst>
        <ext xmlns:x14="http://schemas.microsoft.com/office/spreadsheetml/2009/9/main" uri="{B025F937-C7B1-47D3-B67F-A62EFF666E3E}">
          <x14:id>{AC5D8716-4C8B-4EB9-B803-8E09D811BF85}</x14:id>
        </ext>
      </extLst>
    </cfRule>
  </conditionalFormatting>
  <conditionalFormatting sqref="D24">
    <cfRule type="dataBar" priority="279">
      <dataBar>
        <cfvo type="num" val="0"/>
        <cfvo type="num" val="1"/>
        <color theme="0" tint="-0.249977111117893"/>
      </dataBar>
      <extLst>
        <ext xmlns:x14="http://schemas.microsoft.com/office/spreadsheetml/2009/9/main" uri="{B025F937-C7B1-47D3-B67F-A62EFF666E3E}">
          <x14:id>{D01424E3-2596-442E-A54B-6AAD650EFEDC}</x14:id>
        </ext>
      </extLst>
    </cfRule>
  </conditionalFormatting>
  <conditionalFormatting sqref="D25:D26">
    <cfRule type="dataBar" priority="278">
      <dataBar>
        <cfvo type="num" val="0"/>
        <cfvo type="num" val="1"/>
        <color theme="0" tint="-0.249977111117893"/>
      </dataBar>
      <extLst>
        <ext xmlns:x14="http://schemas.microsoft.com/office/spreadsheetml/2009/9/main" uri="{B025F937-C7B1-47D3-B67F-A62EFF666E3E}">
          <x14:id>{5EF1BC09-E9B4-4006-A0A3-04C16DAD5AAB}</x14:id>
        </ext>
      </extLst>
    </cfRule>
  </conditionalFormatting>
  <conditionalFormatting sqref="D29:D30">
    <cfRule type="dataBar" priority="275">
      <dataBar>
        <cfvo type="num" val="0"/>
        <cfvo type="num" val="1"/>
        <color theme="0" tint="-0.249977111117893"/>
      </dataBar>
      <extLst>
        <ext xmlns:x14="http://schemas.microsoft.com/office/spreadsheetml/2009/9/main" uri="{B025F937-C7B1-47D3-B67F-A62EFF666E3E}">
          <x14:id>{EEB6099B-610F-420B-8586-6B7161D653E4}</x14:id>
        </ext>
      </extLst>
    </cfRule>
  </conditionalFormatting>
  <conditionalFormatting sqref="D31">
    <cfRule type="dataBar" priority="274">
      <dataBar>
        <cfvo type="num" val="0"/>
        <cfvo type="num" val="1"/>
        <color theme="0" tint="-0.249977111117893"/>
      </dataBar>
      <extLst>
        <ext xmlns:x14="http://schemas.microsoft.com/office/spreadsheetml/2009/9/main" uri="{B025F937-C7B1-47D3-B67F-A62EFF666E3E}">
          <x14:id>{5AC94562-9DBE-49E5-BE32-6C8F2E79BD05}</x14:id>
        </ext>
      </extLst>
    </cfRule>
  </conditionalFormatting>
  <conditionalFormatting sqref="D32:D33">
    <cfRule type="dataBar" priority="273">
      <dataBar>
        <cfvo type="num" val="0"/>
        <cfvo type="num" val="1"/>
        <color theme="0" tint="-0.249977111117893"/>
      </dataBar>
      <extLst>
        <ext xmlns:x14="http://schemas.microsoft.com/office/spreadsheetml/2009/9/main" uri="{B025F937-C7B1-47D3-B67F-A62EFF666E3E}">
          <x14:id>{49849B3A-31B6-4A20-8EEE-F5E1C676AE61}</x14:id>
        </ext>
      </extLst>
    </cfRule>
  </conditionalFormatting>
  <conditionalFormatting sqref="D27">
    <cfRule type="dataBar" priority="272">
      <dataBar>
        <cfvo type="num" val="0"/>
        <cfvo type="num" val="1"/>
        <color theme="0" tint="-0.249977111117893"/>
      </dataBar>
      <extLst>
        <ext xmlns:x14="http://schemas.microsoft.com/office/spreadsheetml/2009/9/main" uri="{B025F937-C7B1-47D3-B67F-A62EFF666E3E}">
          <x14:id>{6B6D3CEC-9B28-4019-AE08-2D810E8AD0F2}</x14:id>
        </ext>
      </extLst>
    </cfRule>
  </conditionalFormatting>
  <conditionalFormatting sqref="D36">
    <cfRule type="dataBar" priority="270">
      <dataBar>
        <cfvo type="num" val="0"/>
        <cfvo type="num" val="1"/>
        <color theme="0" tint="-0.249977111117893"/>
      </dataBar>
      <extLst>
        <ext xmlns:x14="http://schemas.microsoft.com/office/spreadsheetml/2009/9/main" uri="{B025F937-C7B1-47D3-B67F-A62EFF666E3E}">
          <x14:id>{7B1E953D-C70F-4293-A5A3-91226F040185}</x14:id>
        </ext>
      </extLst>
    </cfRule>
  </conditionalFormatting>
  <conditionalFormatting sqref="D34">
    <cfRule type="dataBar" priority="268">
      <dataBar>
        <cfvo type="num" val="0"/>
        <cfvo type="num" val="1"/>
        <color theme="0" tint="-0.249977111117893"/>
      </dataBar>
      <extLst>
        <ext xmlns:x14="http://schemas.microsoft.com/office/spreadsheetml/2009/9/main" uri="{B025F937-C7B1-47D3-B67F-A62EFF666E3E}">
          <x14:id>{A5F32CBE-C80F-421E-A11C-A14533654FB2}</x14:id>
        </ext>
      </extLst>
    </cfRule>
  </conditionalFormatting>
  <conditionalFormatting sqref="D28">
    <cfRule type="dataBar" priority="267">
      <dataBar>
        <cfvo type="num" val="0"/>
        <cfvo type="num" val="1"/>
        <color theme="0" tint="-0.249977111117893"/>
      </dataBar>
      <extLst>
        <ext xmlns:x14="http://schemas.microsoft.com/office/spreadsheetml/2009/9/main" uri="{B025F937-C7B1-47D3-B67F-A62EFF666E3E}">
          <x14:id>{FF0BE140-068C-4513-B4C0-E809F73146BD}</x14:id>
        </ext>
      </extLst>
    </cfRule>
  </conditionalFormatting>
  <conditionalFormatting sqref="D37">
    <cfRule type="dataBar" priority="266">
      <dataBar>
        <cfvo type="num" val="0"/>
        <cfvo type="num" val="1"/>
        <color theme="0" tint="-0.249977111117893"/>
      </dataBar>
      <extLst>
        <ext xmlns:x14="http://schemas.microsoft.com/office/spreadsheetml/2009/9/main" uri="{B025F937-C7B1-47D3-B67F-A62EFF666E3E}">
          <x14:id>{44FF6AD8-703A-4172-9DC6-B47EBF8CA558}</x14:id>
        </ext>
      </extLst>
    </cfRule>
  </conditionalFormatting>
  <conditionalFormatting sqref="D39">
    <cfRule type="dataBar" priority="265">
      <dataBar>
        <cfvo type="num" val="0"/>
        <cfvo type="num" val="1"/>
        <color theme="0" tint="-0.249977111117893"/>
      </dataBar>
      <extLst>
        <ext xmlns:x14="http://schemas.microsoft.com/office/spreadsheetml/2009/9/main" uri="{B025F937-C7B1-47D3-B67F-A62EFF666E3E}">
          <x14:id>{A0FFBE70-A130-44F4-A8BE-0E5489333805}</x14:id>
        </ext>
      </extLst>
    </cfRule>
  </conditionalFormatting>
  <conditionalFormatting sqref="D35">
    <cfRule type="dataBar" priority="264">
      <dataBar>
        <cfvo type="num" val="0"/>
        <cfvo type="num" val="1"/>
        <color theme="0" tint="-0.249977111117893"/>
      </dataBar>
      <extLst>
        <ext xmlns:x14="http://schemas.microsoft.com/office/spreadsheetml/2009/9/main" uri="{B025F937-C7B1-47D3-B67F-A62EFF666E3E}">
          <x14:id>{84359B2E-287F-41ED-917A-36BF5708E686}</x14:id>
        </ext>
      </extLst>
    </cfRule>
  </conditionalFormatting>
  <conditionalFormatting sqref="D41">
    <cfRule type="dataBar" priority="263">
      <dataBar>
        <cfvo type="num" val="0"/>
        <cfvo type="num" val="1"/>
        <color theme="0" tint="-0.249977111117893"/>
      </dataBar>
      <extLst>
        <ext xmlns:x14="http://schemas.microsoft.com/office/spreadsheetml/2009/9/main" uri="{B025F937-C7B1-47D3-B67F-A62EFF666E3E}">
          <x14:id>{B1B7E5E5-F7D1-469E-887C-2A955EC20C3A}</x14:id>
        </ext>
      </extLst>
    </cfRule>
  </conditionalFormatting>
  <conditionalFormatting sqref="D43">
    <cfRule type="dataBar" priority="262">
      <dataBar>
        <cfvo type="num" val="0"/>
        <cfvo type="num" val="1"/>
        <color theme="0" tint="-0.249977111117893"/>
      </dataBar>
      <extLst>
        <ext xmlns:x14="http://schemas.microsoft.com/office/spreadsheetml/2009/9/main" uri="{B025F937-C7B1-47D3-B67F-A62EFF666E3E}">
          <x14:id>{ED373300-1F8E-4B0B-815F-F291A0D2AF82}</x14:id>
        </ext>
      </extLst>
    </cfRule>
  </conditionalFormatting>
  <conditionalFormatting sqref="D46">
    <cfRule type="dataBar" priority="261">
      <dataBar>
        <cfvo type="num" val="0"/>
        <cfvo type="num" val="1"/>
        <color theme="0" tint="-0.249977111117893"/>
      </dataBar>
      <extLst>
        <ext xmlns:x14="http://schemas.microsoft.com/office/spreadsheetml/2009/9/main" uri="{B025F937-C7B1-47D3-B67F-A62EFF666E3E}">
          <x14:id>{FE9168E4-05E5-4635-B880-871517FF5196}</x14:id>
        </ext>
      </extLst>
    </cfRule>
  </conditionalFormatting>
  <conditionalFormatting sqref="D47">
    <cfRule type="dataBar" priority="260">
      <dataBar>
        <cfvo type="num" val="0"/>
        <cfvo type="num" val="1"/>
        <color theme="0" tint="-0.249977111117893"/>
      </dataBar>
      <extLst>
        <ext xmlns:x14="http://schemas.microsoft.com/office/spreadsheetml/2009/9/main" uri="{B025F937-C7B1-47D3-B67F-A62EFF666E3E}">
          <x14:id>{FC9E45F9-1B62-466D-B9D7-DF5BC6B8124B}</x14:id>
        </ext>
      </extLst>
    </cfRule>
  </conditionalFormatting>
  <conditionalFormatting sqref="D48">
    <cfRule type="dataBar" priority="259">
      <dataBar>
        <cfvo type="num" val="0"/>
        <cfvo type="num" val="1"/>
        <color theme="0" tint="-0.249977111117893"/>
      </dataBar>
      <extLst>
        <ext xmlns:x14="http://schemas.microsoft.com/office/spreadsheetml/2009/9/main" uri="{B025F937-C7B1-47D3-B67F-A62EFF666E3E}">
          <x14:id>{6D77E73C-6A87-4AB6-8CE2-074C9892D309}</x14:id>
        </ext>
      </extLst>
    </cfRule>
  </conditionalFormatting>
  <conditionalFormatting sqref="D50">
    <cfRule type="dataBar" priority="258">
      <dataBar>
        <cfvo type="num" val="0"/>
        <cfvo type="num" val="1"/>
        <color theme="0" tint="-0.249977111117893"/>
      </dataBar>
      <extLst>
        <ext xmlns:x14="http://schemas.microsoft.com/office/spreadsheetml/2009/9/main" uri="{B025F937-C7B1-47D3-B67F-A62EFF666E3E}">
          <x14:id>{023629D1-A3AC-4956-AB9A-EFFEFA649F2A}</x14:id>
        </ext>
      </extLst>
    </cfRule>
  </conditionalFormatting>
  <conditionalFormatting sqref="D49">
    <cfRule type="dataBar" priority="257">
      <dataBar>
        <cfvo type="num" val="0"/>
        <cfvo type="num" val="1"/>
        <color theme="0" tint="-0.249977111117893"/>
      </dataBar>
      <extLst>
        <ext xmlns:x14="http://schemas.microsoft.com/office/spreadsheetml/2009/9/main" uri="{B025F937-C7B1-47D3-B67F-A62EFF666E3E}">
          <x14:id>{5206462F-C478-4451-95D7-96C095673A18}</x14:id>
        </ext>
      </extLst>
    </cfRule>
  </conditionalFormatting>
  <conditionalFormatting sqref="D51">
    <cfRule type="dataBar" priority="256">
      <dataBar>
        <cfvo type="num" val="0"/>
        <cfvo type="num" val="1"/>
        <color theme="0" tint="-0.249977111117893"/>
      </dataBar>
      <extLst>
        <ext xmlns:x14="http://schemas.microsoft.com/office/spreadsheetml/2009/9/main" uri="{B025F937-C7B1-47D3-B67F-A62EFF666E3E}">
          <x14:id>{7E36976B-32A0-4E82-AE73-1534E1A2E7CB}</x14:id>
        </ext>
      </extLst>
    </cfRule>
  </conditionalFormatting>
  <conditionalFormatting sqref="D54">
    <cfRule type="dataBar" priority="255">
      <dataBar>
        <cfvo type="num" val="0"/>
        <cfvo type="num" val="1"/>
        <color theme="0" tint="-0.249977111117893"/>
      </dataBar>
      <extLst>
        <ext xmlns:x14="http://schemas.microsoft.com/office/spreadsheetml/2009/9/main" uri="{B025F937-C7B1-47D3-B67F-A62EFF666E3E}">
          <x14:id>{ED8513F2-7E38-493A-A127-019F391E72B5}</x14:id>
        </ext>
      </extLst>
    </cfRule>
  </conditionalFormatting>
  <conditionalFormatting sqref="D56">
    <cfRule type="dataBar" priority="254">
      <dataBar>
        <cfvo type="num" val="0"/>
        <cfvo type="num" val="1"/>
        <color theme="0" tint="-0.249977111117893"/>
      </dataBar>
      <extLst>
        <ext xmlns:x14="http://schemas.microsoft.com/office/spreadsheetml/2009/9/main" uri="{B025F937-C7B1-47D3-B67F-A62EFF666E3E}">
          <x14:id>{77C9E417-3877-47BA-9AC4-A102E0A51B7D}</x14:id>
        </ext>
      </extLst>
    </cfRule>
  </conditionalFormatting>
  <conditionalFormatting sqref="D55">
    <cfRule type="dataBar" priority="253">
      <dataBar>
        <cfvo type="num" val="0"/>
        <cfvo type="num" val="1"/>
        <color theme="0" tint="-0.249977111117893"/>
      </dataBar>
      <extLst>
        <ext xmlns:x14="http://schemas.microsoft.com/office/spreadsheetml/2009/9/main" uri="{B025F937-C7B1-47D3-B67F-A62EFF666E3E}">
          <x14:id>{A1029EBD-9EAE-4E1E-A9FF-7CBF6451BA00}</x14:id>
        </ext>
      </extLst>
    </cfRule>
  </conditionalFormatting>
  <conditionalFormatting sqref="D57">
    <cfRule type="dataBar" priority="252">
      <dataBar>
        <cfvo type="num" val="0"/>
        <cfvo type="num" val="1"/>
        <color theme="0" tint="-0.249977111117893"/>
      </dataBar>
      <extLst>
        <ext xmlns:x14="http://schemas.microsoft.com/office/spreadsheetml/2009/9/main" uri="{B025F937-C7B1-47D3-B67F-A62EFF666E3E}">
          <x14:id>{1032AF44-15E0-42DD-8467-D859BA98F9DA}</x14:id>
        </ext>
      </extLst>
    </cfRule>
  </conditionalFormatting>
  <conditionalFormatting sqref="D59">
    <cfRule type="dataBar" priority="248">
      <dataBar>
        <cfvo type="num" val="0"/>
        <cfvo type="num" val="1"/>
        <color theme="0" tint="-0.249977111117893"/>
      </dataBar>
      <extLst>
        <ext xmlns:x14="http://schemas.microsoft.com/office/spreadsheetml/2009/9/main" uri="{B025F937-C7B1-47D3-B67F-A62EFF666E3E}">
          <x14:id>{7DE5DC2A-C454-47F0-9928-16C0D999E105}</x14:id>
        </ext>
      </extLst>
    </cfRule>
  </conditionalFormatting>
  <conditionalFormatting sqref="D58">
    <cfRule type="dataBar" priority="247">
      <dataBar>
        <cfvo type="num" val="0"/>
        <cfvo type="num" val="1"/>
        <color theme="0" tint="-0.249977111117893"/>
      </dataBar>
      <extLst>
        <ext xmlns:x14="http://schemas.microsoft.com/office/spreadsheetml/2009/9/main" uri="{B025F937-C7B1-47D3-B67F-A62EFF666E3E}">
          <x14:id>{B917B205-C506-44AF-9841-C39EB23032ED}</x14:id>
        </ext>
      </extLst>
    </cfRule>
  </conditionalFormatting>
  <conditionalFormatting sqref="D60">
    <cfRule type="dataBar" priority="246">
      <dataBar>
        <cfvo type="num" val="0"/>
        <cfvo type="num" val="1"/>
        <color theme="0" tint="-0.249977111117893"/>
      </dataBar>
      <extLst>
        <ext xmlns:x14="http://schemas.microsoft.com/office/spreadsheetml/2009/9/main" uri="{B025F937-C7B1-47D3-B67F-A62EFF666E3E}">
          <x14:id>{35F0DD7A-73D1-494C-9E14-32AFAE9CD789}</x14:id>
        </ext>
      </extLst>
    </cfRule>
  </conditionalFormatting>
  <conditionalFormatting sqref="D62">
    <cfRule type="dataBar" priority="245">
      <dataBar>
        <cfvo type="num" val="0"/>
        <cfvo type="num" val="1"/>
        <color theme="0" tint="-0.249977111117893"/>
      </dataBar>
      <extLst>
        <ext xmlns:x14="http://schemas.microsoft.com/office/spreadsheetml/2009/9/main" uri="{B025F937-C7B1-47D3-B67F-A62EFF666E3E}">
          <x14:id>{F299CC38-D414-4D44-9BBA-0246B6FD84A0}</x14:id>
        </ext>
      </extLst>
    </cfRule>
  </conditionalFormatting>
  <conditionalFormatting sqref="D61">
    <cfRule type="dataBar" priority="244">
      <dataBar>
        <cfvo type="num" val="0"/>
        <cfvo type="num" val="1"/>
        <color theme="0" tint="-0.249977111117893"/>
      </dataBar>
      <extLst>
        <ext xmlns:x14="http://schemas.microsoft.com/office/spreadsheetml/2009/9/main" uri="{B025F937-C7B1-47D3-B67F-A62EFF666E3E}">
          <x14:id>{3FD9960A-6897-4A6B-A17D-3D9A2D38BAFB}</x14:id>
        </ext>
      </extLst>
    </cfRule>
  </conditionalFormatting>
  <conditionalFormatting sqref="D63">
    <cfRule type="dataBar" priority="233">
      <dataBar>
        <cfvo type="num" val="0"/>
        <cfvo type="num" val="1"/>
        <color theme="0" tint="-0.249977111117893"/>
      </dataBar>
      <extLst>
        <ext xmlns:x14="http://schemas.microsoft.com/office/spreadsheetml/2009/9/main" uri="{B025F937-C7B1-47D3-B67F-A62EFF666E3E}">
          <x14:id>{0092103B-89C7-4B47-AADB-9EA9CA19AC4B}</x14:id>
        </ext>
      </extLst>
    </cfRule>
  </conditionalFormatting>
  <conditionalFormatting sqref="D65">
    <cfRule type="dataBar" priority="232">
      <dataBar>
        <cfvo type="num" val="0"/>
        <cfvo type="num" val="1"/>
        <color theme="0" tint="-0.249977111117893"/>
      </dataBar>
      <extLst>
        <ext xmlns:x14="http://schemas.microsoft.com/office/spreadsheetml/2009/9/main" uri="{B025F937-C7B1-47D3-B67F-A62EFF666E3E}">
          <x14:id>{A3D4A31B-5333-4A5E-A2A2-2FA5AB3979B7}</x14:id>
        </ext>
      </extLst>
    </cfRule>
  </conditionalFormatting>
  <conditionalFormatting sqref="D64">
    <cfRule type="dataBar" priority="231">
      <dataBar>
        <cfvo type="num" val="0"/>
        <cfvo type="num" val="1"/>
        <color theme="0" tint="-0.249977111117893"/>
      </dataBar>
      <extLst>
        <ext xmlns:x14="http://schemas.microsoft.com/office/spreadsheetml/2009/9/main" uri="{B025F937-C7B1-47D3-B67F-A62EFF666E3E}">
          <x14:id>{B4C93C3F-A431-4383-9B50-5CE63492506A}</x14:id>
        </ext>
      </extLst>
    </cfRule>
  </conditionalFormatting>
  <conditionalFormatting sqref="D66">
    <cfRule type="dataBar" priority="230">
      <dataBar>
        <cfvo type="num" val="0"/>
        <cfvo type="num" val="1"/>
        <color theme="0" tint="-0.249977111117893"/>
      </dataBar>
      <extLst>
        <ext xmlns:x14="http://schemas.microsoft.com/office/spreadsheetml/2009/9/main" uri="{B025F937-C7B1-47D3-B67F-A62EFF666E3E}">
          <x14:id>{DBC7FDA9-7B94-4C6C-AED9-20EAFC0E61E9}</x14:id>
        </ext>
      </extLst>
    </cfRule>
  </conditionalFormatting>
  <conditionalFormatting sqref="D67">
    <cfRule type="dataBar" priority="229">
      <dataBar>
        <cfvo type="num" val="0"/>
        <cfvo type="num" val="1"/>
        <color theme="0" tint="-0.249977111117893"/>
      </dataBar>
      <extLst>
        <ext xmlns:x14="http://schemas.microsoft.com/office/spreadsheetml/2009/9/main" uri="{B025F937-C7B1-47D3-B67F-A62EFF666E3E}">
          <x14:id>{385A73FD-4117-4813-A8AE-1E1B054786D3}</x14:id>
        </ext>
      </extLst>
    </cfRule>
  </conditionalFormatting>
  <conditionalFormatting sqref="D69">
    <cfRule type="dataBar" priority="220">
      <dataBar>
        <cfvo type="num" val="0"/>
        <cfvo type="num" val="1"/>
        <color theme="0" tint="-0.249977111117893"/>
      </dataBar>
      <extLst>
        <ext xmlns:x14="http://schemas.microsoft.com/office/spreadsheetml/2009/9/main" uri="{B025F937-C7B1-47D3-B67F-A62EFF666E3E}">
          <x14:id>{08164B16-6158-4BA4-BB00-35E8B9DBDCC1}</x14:id>
        </ext>
      </extLst>
    </cfRule>
  </conditionalFormatting>
  <conditionalFormatting sqref="D68">
    <cfRule type="dataBar" priority="219">
      <dataBar>
        <cfvo type="num" val="0"/>
        <cfvo type="num" val="1"/>
        <color theme="0" tint="-0.249977111117893"/>
      </dataBar>
      <extLst>
        <ext xmlns:x14="http://schemas.microsoft.com/office/spreadsheetml/2009/9/main" uri="{B025F937-C7B1-47D3-B67F-A62EFF666E3E}">
          <x14:id>{6AD598C3-1BDC-43B5-9C21-7E2CC3DE4446}</x14:id>
        </ext>
      </extLst>
    </cfRule>
  </conditionalFormatting>
  <conditionalFormatting sqref="D71">
    <cfRule type="dataBar" priority="218">
      <dataBar>
        <cfvo type="num" val="0"/>
        <cfvo type="num" val="1"/>
        <color theme="0" tint="-0.249977111117893"/>
      </dataBar>
      <extLst>
        <ext xmlns:x14="http://schemas.microsoft.com/office/spreadsheetml/2009/9/main" uri="{B025F937-C7B1-47D3-B67F-A62EFF666E3E}">
          <x14:id>{B0448750-ADC1-465F-91FD-1A6892E9ECBB}</x14:id>
        </ext>
      </extLst>
    </cfRule>
  </conditionalFormatting>
  <conditionalFormatting sqref="D70">
    <cfRule type="dataBar" priority="217">
      <dataBar>
        <cfvo type="num" val="0"/>
        <cfvo type="num" val="1"/>
        <color theme="0" tint="-0.249977111117893"/>
      </dataBar>
      <extLst>
        <ext xmlns:x14="http://schemas.microsoft.com/office/spreadsheetml/2009/9/main" uri="{B025F937-C7B1-47D3-B67F-A62EFF666E3E}">
          <x14:id>{A006D97D-ACF3-47F0-A78E-8BD047EDE515}</x14:id>
        </ext>
      </extLst>
    </cfRule>
  </conditionalFormatting>
  <conditionalFormatting sqref="D75">
    <cfRule type="dataBar" priority="216">
      <dataBar>
        <cfvo type="num" val="0"/>
        <cfvo type="num" val="1"/>
        <color theme="0" tint="-0.249977111117893"/>
      </dataBar>
      <extLst>
        <ext xmlns:x14="http://schemas.microsoft.com/office/spreadsheetml/2009/9/main" uri="{B025F937-C7B1-47D3-B67F-A62EFF666E3E}">
          <x14:id>{902FB659-01C0-42CC-A483-3E7F28FD1446}</x14:id>
        </ext>
      </extLst>
    </cfRule>
  </conditionalFormatting>
  <conditionalFormatting sqref="D77">
    <cfRule type="dataBar" priority="215">
      <dataBar>
        <cfvo type="num" val="0"/>
        <cfvo type="num" val="1"/>
        <color theme="0" tint="-0.249977111117893"/>
      </dataBar>
      <extLst>
        <ext xmlns:x14="http://schemas.microsoft.com/office/spreadsheetml/2009/9/main" uri="{B025F937-C7B1-47D3-B67F-A62EFF666E3E}">
          <x14:id>{2EF00BD4-6D42-4991-B94D-FD87217E6162}</x14:id>
        </ext>
      </extLst>
    </cfRule>
  </conditionalFormatting>
  <conditionalFormatting sqref="D76">
    <cfRule type="dataBar" priority="214">
      <dataBar>
        <cfvo type="num" val="0"/>
        <cfvo type="num" val="1"/>
        <color theme="0" tint="-0.249977111117893"/>
      </dataBar>
      <extLst>
        <ext xmlns:x14="http://schemas.microsoft.com/office/spreadsheetml/2009/9/main" uri="{B025F937-C7B1-47D3-B67F-A62EFF666E3E}">
          <x14:id>{F0459694-2A1C-4C0A-AFCF-8FF61A0033E8}</x14:id>
        </ext>
      </extLst>
    </cfRule>
  </conditionalFormatting>
  <conditionalFormatting sqref="D78">
    <cfRule type="dataBar" priority="213">
      <dataBar>
        <cfvo type="num" val="0"/>
        <cfvo type="num" val="1"/>
        <color theme="0" tint="-0.249977111117893"/>
      </dataBar>
      <extLst>
        <ext xmlns:x14="http://schemas.microsoft.com/office/spreadsheetml/2009/9/main" uri="{B025F937-C7B1-47D3-B67F-A62EFF666E3E}">
          <x14:id>{6496EB11-4725-477D-9EF7-E50F81D82FA4}</x14:id>
        </ext>
      </extLst>
    </cfRule>
  </conditionalFormatting>
  <conditionalFormatting sqref="D79">
    <cfRule type="dataBar" priority="212">
      <dataBar>
        <cfvo type="num" val="0"/>
        <cfvo type="num" val="1"/>
        <color theme="0" tint="-0.249977111117893"/>
      </dataBar>
      <extLst>
        <ext xmlns:x14="http://schemas.microsoft.com/office/spreadsheetml/2009/9/main" uri="{B025F937-C7B1-47D3-B67F-A62EFF666E3E}">
          <x14:id>{EE067378-C3C2-41BA-A050-FCC677FA4079}</x14:id>
        </ext>
      </extLst>
    </cfRule>
  </conditionalFormatting>
  <conditionalFormatting sqref="D81">
    <cfRule type="dataBar" priority="211">
      <dataBar>
        <cfvo type="num" val="0"/>
        <cfvo type="num" val="1"/>
        <color theme="0" tint="-0.249977111117893"/>
      </dataBar>
      <extLst>
        <ext xmlns:x14="http://schemas.microsoft.com/office/spreadsheetml/2009/9/main" uri="{B025F937-C7B1-47D3-B67F-A62EFF666E3E}">
          <x14:id>{89709BDF-D366-43FA-A68A-762ED513E461}</x14:id>
        </ext>
      </extLst>
    </cfRule>
  </conditionalFormatting>
  <conditionalFormatting sqref="D80">
    <cfRule type="dataBar" priority="210">
      <dataBar>
        <cfvo type="num" val="0"/>
        <cfvo type="num" val="1"/>
        <color theme="0" tint="-0.249977111117893"/>
      </dataBar>
      <extLst>
        <ext xmlns:x14="http://schemas.microsoft.com/office/spreadsheetml/2009/9/main" uri="{B025F937-C7B1-47D3-B67F-A62EFF666E3E}">
          <x14:id>{59C3CCF8-0FF5-467B-A81C-7246B461BF44}</x14:id>
        </ext>
      </extLst>
    </cfRule>
  </conditionalFormatting>
  <conditionalFormatting sqref="D83">
    <cfRule type="dataBar" priority="209">
      <dataBar>
        <cfvo type="num" val="0"/>
        <cfvo type="num" val="1"/>
        <color theme="0" tint="-0.249977111117893"/>
      </dataBar>
      <extLst>
        <ext xmlns:x14="http://schemas.microsoft.com/office/spreadsheetml/2009/9/main" uri="{B025F937-C7B1-47D3-B67F-A62EFF666E3E}">
          <x14:id>{B252FE96-8167-46D2-9D26-5D966005DA42}</x14:id>
        </ext>
      </extLst>
    </cfRule>
  </conditionalFormatting>
  <conditionalFormatting sqref="D82">
    <cfRule type="dataBar" priority="208">
      <dataBar>
        <cfvo type="num" val="0"/>
        <cfvo type="num" val="1"/>
        <color theme="0" tint="-0.249977111117893"/>
      </dataBar>
      <extLst>
        <ext xmlns:x14="http://schemas.microsoft.com/office/spreadsheetml/2009/9/main" uri="{B025F937-C7B1-47D3-B67F-A62EFF666E3E}">
          <x14:id>{53373FE8-4EB7-4416-ABFA-C9E585D6B14A}</x14:id>
        </ext>
      </extLst>
    </cfRule>
  </conditionalFormatting>
  <conditionalFormatting sqref="D84">
    <cfRule type="dataBar" priority="207">
      <dataBar>
        <cfvo type="num" val="0"/>
        <cfvo type="num" val="1"/>
        <color theme="0" tint="-0.249977111117893"/>
      </dataBar>
      <extLst>
        <ext xmlns:x14="http://schemas.microsoft.com/office/spreadsheetml/2009/9/main" uri="{B025F937-C7B1-47D3-B67F-A62EFF666E3E}">
          <x14:id>{093AF43F-A3F9-4359-AD57-50CD46F7CDDE}</x14:id>
        </ext>
      </extLst>
    </cfRule>
  </conditionalFormatting>
  <conditionalFormatting sqref="D85">
    <cfRule type="dataBar" priority="206">
      <dataBar>
        <cfvo type="num" val="0"/>
        <cfvo type="num" val="1"/>
        <color theme="0" tint="-0.249977111117893"/>
      </dataBar>
      <extLst>
        <ext xmlns:x14="http://schemas.microsoft.com/office/spreadsheetml/2009/9/main" uri="{B025F937-C7B1-47D3-B67F-A62EFF666E3E}">
          <x14:id>{E6E79529-4E13-4310-A8A1-5E59A4544D6F}</x14:id>
        </ext>
      </extLst>
    </cfRule>
  </conditionalFormatting>
  <conditionalFormatting sqref="D86">
    <cfRule type="dataBar" priority="205">
      <dataBar>
        <cfvo type="num" val="0"/>
        <cfvo type="num" val="1"/>
        <color theme="0" tint="-0.249977111117893"/>
      </dataBar>
      <extLst>
        <ext xmlns:x14="http://schemas.microsoft.com/office/spreadsheetml/2009/9/main" uri="{B025F937-C7B1-47D3-B67F-A62EFF666E3E}">
          <x14:id>{6AECCE72-6DCA-4E56-A613-7AD71A8A86A0}</x14:id>
        </ext>
      </extLst>
    </cfRule>
  </conditionalFormatting>
  <conditionalFormatting sqref="D88">
    <cfRule type="dataBar" priority="204">
      <dataBar>
        <cfvo type="num" val="0"/>
        <cfvo type="num" val="1"/>
        <color theme="0" tint="-0.249977111117893"/>
      </dataBar>
      <extLst>
        <ext xmlns:x14="http://schemas.microsoft.com/office/spreadsheetml/2009/9/main" uri="{B025F937-C7B1-47D3-B67F-A62EFF666E3E}">
          <x14:id>{165B3956-E302-46DB-96E3-E318F408832C}</x14:id>
        </ext>
      </extLst>
    </cfRule>
  </conditionalFormatting>
  <conditionalFormatting sqref="D87">
    <cfRule type="dataBar" priority="203">
      <dataBar>
        <cfvo type="num" val="0"/>
        <cfvo type="num" val="1"/>
        <color theme="0" tint="-0.249977111117893"/>
      </dataBar>
      <extLst>
        <ext xmlns:x14="http://schemas.microsoft.com/office/spreadsheetml/2009/9/main" uri="{B025F937-C7B1-47D3-B67F-A62EFF666E3E}">
          <x14:id>{5C0CC4A6-63C3-4A06-90FA-F3CFC0993459}</x14:id>
        </ext>
      </extLst>
    </cfRule>
  </conditionalFormatting>
  <conditionalFormatting sqref="D89">
    <cfRule type="dataBar" priority="202">
      <dataBar>
        <cfvo type="num" val="0"/>
        <cfvo type="num" val="1"/>
        <color theme="0" tint="-0.249977111117893"/>
      </dataBar>
      <extLst>
        <ext xmlns:x14="http://schemas.microsoft.com/office/spreadsheetml/2009/9/main" uri="{B025F937-C7B1-47D3-B67F-A62EFF666E3E}">
          <x14:id>{7A58CA9E-61C3-457A-ABD3-D1DA12E8859A}</x14:id>
        </ext>
      </extLst>
    </cfRule>
  </conditionalFormatting>
  <conditionalFormatting sqref="D90">
    <cfRule type="dataBar" priority="201">
      <dataBar>
        <cfvo type="num" val="0"/>
        <cfvo type="num" val="1"/>
        <color theme="0" tint="-0.249977111117893"/>
      </dataBar>
      <extLst>
        <ext xmlns:x14="http://schemas.microsoft.com/office/spreadsheetml/2009/9/main" uri="{B025F937-C7B1-47D3-B67F-A62EFF666E3E}">
          <x14:id>{6B5902D7-CB6D-4A0E-93A2-1898FE336388}</x14:id>
        </ext>
      </extLst>
    </cfRule>
  </conditionalFormatting>
  <conditionalFormatting sqref="D92">
    <cfRule type="dataBar" priority="200">
      <dataBar>
        <cfvo type="num" val="0"/>
        <cfvo type="num" val="1"/>
        <color theme="0" tint="-0.249977111117893"/>
      </dataBar>
      <extLst>
        <ext xmlns:x14="http://schemas.microsoft.com/office/spreadsheetml/2009/9/main" uri="{B025F937-C7B1-47D3-B67F-A62EFF666E3E}">
          <x14:id>{EA7E397D-2E51-4CEA-8060-8A2362BE6A96}</x14:id>
        </ext>
      </extLst>
    </cfRule>
  </conditionalFormatting>
  <conditionalFormatting sqref="D91">
    <cfRule type="dataBar" priority="199">
      <dataBar>
        <cfvo type="num" val="0"/>
        <cfvo type="num" val="1"/>
        <color theme="0" tint="-0.249977111117893"/>
      </dataBar>
      <extLst>
        <ext xmlns:x14="http://schemas.microsoft.com/office/spreadsheetml/2009/9/main" uri="{B025F937-C7B1-47D3-B67F-A62EFF666E3E}">
          <x14:id>{04CDF161-E257-47A0-8DFE-8D0E59D0F26B}</x14:id>
        </ext>
      </extLst>
    </cfRule>
  </conditionalFormatting>
  <conditionalFormatting sqref="D94">
    <cfRule type="dataBar" priority="198">
      <dataBar>
        <cfvo type="num" val="0"/>
        <cfvo type="num" val="1"/>
        <color theme="0" tint="-0.249977111117893"/>
      </dataBar>
      <extLst>
        <ext xmlns:x14="http://schemas.microsoft.com/office/spreadsheetml/2009/9/main" uri="{B025F937-C7B1-47D3-B67F-A62EFF666E3E}">
          <x14:id>{AAFEFF09-3E33-4BEC-8EBD-284295E9BC5B}</x14:id>
        </ext>
      </extLst>
    </cfRule>
  </conditionalFormatting>
  <conditionalFormatting sqref="D93">
    <cfRule type="dataBar" priority="197">
      <dataBar>
        <cfvo type="num" val="0"/>
        <cfvo type="num" val="1"/>
        <color theme="0" tint="-0.249977111117893"/>
      </dataBar>
      <extLst>
        <ext xmlns:x14="http://schemas.microsoft.com/office/spreadsheetml/2009/9/main" uri="{B025F937-C7B1-47D3-B67F-A62EFF666E3E}">
          <x14:id>{FBA43F0E-6E7F-4BD2-A7D1-E1CA97436756}</x14:id>
        </ext>
      </extLst>
    </cfRule>
  </conditionalFormatting>
  <conditionalFormatting sqref="D95">
    <cfRule type="dataBar" priority="196">
      <dataBar>
        <cfvo type="num" val="0"/>
        <cfvo type="num" val="1"/>
        <color theme="0" tint="-0.249977111117893"/>
      </dataBar>
      <extLst>
        <ext xmlns:x14="http://schemas.microsoft.com/office/spreadsheetml/2009/9/main" uri="{B025F937-C7B1-47D3-B67F-A62EFF666E3E}">
          <x14:id>{67621224-A9EB-4B6F-941A-E6EDD45A1127}</x14:id>
        </ext>
      </extLst>
    </cfRule>
  </conditionalFormatting>
  <conditionalFormatting sqref="D97">
    <cfRule type="dataBar" priority="194">
      <dataBar>
        <cfvo type="num" val="0"/>
        <cfvo type="num" val="1"/>
        <color theme="0" tint="-0.249977111117893"/>
      </dataBar>
      <extLst>
        <ext xmlns:x14="http://schemas.microsoft.com/office/spreadsheetml/2009/9/main" uri="{B025F937-C7B1-47D3-B67F-A62EFF666E3E}">
          <x14:id>{E41819C5-DE6D-4F02-A801-97B06EBEB74A}</x14:id>
        </ext>
      </extLst>
    </cfRule>
  </conditionalFormatting>
  <conditionalFormatting sqref="D99">
    <cfRule type="dataBar" priority="193">
      <dataBar>
        <cfvo type="num" val="0"/>
        <cfvo type="num" val="1"/>
        <color theme="0" tint="-0.249977111117893"/>
      </dataBar>
      <extLst>
        <ext xmlns:x14="http://schemas.microsoft.com/office/spreadsheetml/2009/9/main" uri="{B025F937-C7B1-47D3-B67F-A62EFF666E3E}">
          <x14:id>{EC86A341-02FC-4F96-B414-1D5BA2089C09}</x14:id>
        </ext>
      </extLst>
    </cfRule>
  </conditionalFormatting>
  <conditionalFormatting sqref="D98">
    <cfRule type="dataBar" priority="192">
      <dataBar>
        <cfvo type="num" val="0"/>
        <cfvo type="num" val="1"/>
        <color theme="0" tint="-0.249977111117893"/>
      </dataBar>
      <extLst>
        <ext xmlns:x14="http://schemas.microsoft.com/office/spreadsheetml/2009/9/main" uri="{B025F937-C7B1-47D3-B67F-A62EFF666E3E}">
          <x14:id>{BF7AE6A7-2F6E-419D-B6FB-EC0700FA3CA3}</x14:id>
        </ext>
      </extLst>
    </cfRule>
  </conditionalFormatting>
  <conditionalFormatting sqref="D100">
    <cfRule type="dataBar" priority="191">
      <dataBar>
        <cfvo type="num" val="0"/>
        <cfvo type="num" val="1"/>
        <color theme="0" tint="-0.249977111117893"/>
      </dataBar>
      <extLst>
        <ext xmlns:x14="http://schemas.microsoft.com/office/spreadsheetml/2009/9/main" uri="{B025F937-C7B1-47D3-B67F-A62EFF666E3E}">
          <x14:id>{375BC1F4-FB71-4F13-9628-9638EB9A84CF}</x14:id>
        </ext>
      </extLst>
    </cfRule>
  </conditionalFormatting>
  <conditionalFormatting sqref="D101">
    <cfRule type="dataBar" priority="190">
      <dataBar>
        <cfvo type="num" val="0"/>
        <cfvo type="num" val="1"/>
        <color theme="0" tint="-0.249977111117893"/>
      </dataBar>
      <extLst>
        <ext xmlns:x14="http://schemas.microsoft.com/office/spreadsheetml/2009/9/main" uri="{B025F937-C7B1-47D3-B67F-A62EFF666E3E}">
          <x14:id>{776484C2-8638-4DEB-80AF-2A42163EAF5F}</x14:id>
        </ext>
      </extLst>
    </cfRule>
  </conditionalFormatting>
  <conditionalFormatting sqref="D103">
    <cfRule type="dataBar" priority="189">
      <dataBar>
        <cfvo type="num" val="0"/>
        <cfvo type="num" val="1"/>
        <color theme="0" tint="-0.249977111117893"/>
      </dataBar>
      <extLst>
        <ext xmlns:x14="http://schemas.microsoft.com/office/spreadsheetml/2009/9/main" uri="{B025F937-C7B1-47D3-B67F-A62EFF666E3E}">
          <x14:id>{DDF998B1-4841-4F0E-9137-9C5A6DD22941}</x14:id>
        </ext>
      </extLst>
    </cfRule>
  </conditionalFormatting>
  <conditionalFormatting sqref="D102">
    <cfRule type="dataBar" priority="188">
      <dataBar>
        <cfvo type="num" val="0"/>
        <cfvo type="num" val="1"/>
        <color theme="0" tint="-0.249977111117893"/>
      </dataBar>
      <extLst>
        <ext xmlns:x14="http://schemas.microsoft.com/office/spreadsheetml/2009/9/main" uri="{B025F937-C7B1-47D3-B67F-A62EFF666E3E}">
          <x14:id>{11D835C9-9A33-40C9-979C-5DE7C08F31DC}</x14:id>
        </ext>
      </extLst>
    </cfRule>
  </conditionalFormatting>
  <conditionalFormatting sqref="D105">
    <cfRule type="dataBar" priority="187">
      <dataBar>
        <cfvo type="num" val="0"/>
        <cfvo type="num" val="1"/>
        <color theme="0" tint="-0.249977111117893"/>
      </dataBar>
      <extLst>
        <ext xmlns:x14="http://schemas.microsoft.com/office/spreadsheetml/2009/9/main" uri="{B025F937-C7B1-47D3-B67F-A62EFF666E3E}">
          <x14:id>{8FCCA79C-4821-4DCA-9E66-F83A1C658B2A}</x14:id>
        </ext>
      </extLst>
    </cfRule>
  </conditionalFormatting>
  <conditionalFormatting sqref="D104">
    <cfRule type="dataBar" priority="186">
      <dataBar>
        <cfvo type="num" val="0"/>
        <cfvo type="num" val="1"/>
        <color theme="0" tint="-0.249977111117893"/>
      </dataBar>
      <extLst>
        <ext xmlns:x14="http://schemas.microsoft.com/office/spreadsheetml/2009/9/main" uri="{B025F937-C7B1-47D3-B67F-A62EFF666E3E}">
          <x14:id>{A332004A-A78C-4391-9DD2-3CD1940B28C7}</x14:id>
        </ext>
      </extLst>
    </cfRule>
  </conditionalFormatting>
  <conditionalFormatting sqref="D106">
    <cfRule type="dataBar" priority="183">
      <dataBar>
        <cfvo type="num" val="0"/>
        <cfvo type="num" val="1"/>
        <color theme="0" tint="-0.249977111117893"/>
      </dataBar>
      <extLst>
        <ext xmlns:x14="http://schemas.microsoft.com/office/spreadsheetml/2009/9/main" uri="{B025F937-C7B1-47D3-B67F-A62EFF666E3E}">
          <x14:id>{138952DF-8C56-43E2-8E60-912A9D2BABD8}</x14:id>
        </ext>
      </extLst>
    </cfRule>
  </conditionalFormatting>
  <conditionalFormatting sqref="D108">
    <cfRule type="dataBar" priority="182">
      <dataBar>
        <cfvo type="num" val="0"/>
        <cfvo type="num" val="1"/>
        <color theme="0" tint="-0.249977111117893"/>
      </dataBar>
      <extLst>
        <ext xmlns:x14="http://schemas.microsoft.com/office/spreadsheetml/2009/9/main" uri="{B025F937-C7B1-47D3-B67F-A62EFF666E3E}">
          <x14:id>{7DA69955-1BC7-4419-9415-B1C87ED63030}</x14:id>
        </ext>
      </extLst>
    </cfRule>
  </conditionalFormatting>
  <conditionalFormatting sqref="D107">
    <cfRule type="dataBar" priority="181">
      <dataBar>
        <cfvo type="num" val="0"/>
        <cfvo type="num" val="1"/>
        <color theme="0" tint="-0.249977111117893"/>
      </dataBar>
      <extLst>
        <ext xmlns:x14="http://schemas.microsoft.com/office/spreadsheetml/2009/9/main" uri="{B025F937-C7B1-47D3-B67F-A62EFF666E3E}">
          <x14:id>{0D8B80AD-0F93-4A0C-9486-C95D7F5B53C6}</x14:id>
        </ext>
      </extLst>
    </cfRule>
  </conditionalFormatting>
  <conditionalFormatting sqref="D109">
    <cfRule type="dataBar" priority="180">
      <dataBar>
        <cfvo type="num" val="0"/>
        <cfvo type="num" val="1"/>
        <color theme="0" tint="-0.249977111117893"/>
      </dataBar>
      <extLst>
        <ext xmlns:x14="http://schemas.microsoft.com/office/spreadsheetml/2009/9/main" uri="{B025F937-C7B1-47D3-B67F-A62EFF666E3E}">
          <x14:id>{5C3B52B0-D2F0-4306-AF03-F2880BE32C9D}</x14:id>
        </ext>
      </extLst>
    </cfRule>
  </conditionalFormatting>
  <conditionalFormatting sqref="D110">
    <cfRule type="dataBar" priority="179">
      <dataBar>
        <cfvo type="num" val="0"/>
        <cfvo type="num" val="1"/>
        <color theme="0" tint="-0.249977111117893"/>
      </dataBar>
      <extLst>
        <ext xmlns:x14="http://schemas.microsoft.com/office/spreadsheetml/2009/9/main" uri="{B025F937-C7B1-47D3-B67F-A62EFF666E3E}">
          <x14:id>{9EC3A6F0-AB8F-410B-BC82-183247DFB4EC}</x14:id>
        </ext>
      </extLst>
    </cfRule>
  </conditionalFormatting>
  <conditionalFormatting sqref="D112">
    <cfRule type="dataBar" priority="178">
      <dataBar>
        <cfvo type="num" val="0"/>
        <cfvo type="num" val="1"/>
        <color theme="0" tint="-0.249977111117893"/>
      </dataBar>
      <extLst>
        <ext xmlns:x14="http://schemas.microsoft.com/office/spreadsheetml/2009/9/main" uri="{B025F937-C7B1-47D3-B67F-A62EFF666E3E}">
          <x14:id>{104A3ED0-8E77-4DBD-9077-AC779FFEFC06}</x14:id>
        </ext>
      </extLst>
    </cfRule>
  </conditionalFormatting>
  <conditionalFormatting sqref="D111">
    <cfRule type="dataBar" priority="177">
      <dataBar>
        <cfvo type="num" val="0"/>
        <cfvo type="num" val="1"/>
        <color theme="0" tint="-0.249977111117893"/>
      </dataBar>
      <extLst>
        <ext xmlns:x14="http://schemas.microsoft.com/office/spreadsheetml/2009/9/main" uri="{B025F937-C7B1-47D3-B67F-A62EFF666E3E}">
          <x14:id>{248DCC98-E309-424D-85AC-2BBBC9A2D57D}</x14:id>
        </ext>
      </extLst>
    </cfRule>
  </conditionalFormatting>
  <conditionalFormatting sqref="D114">
    <cfRule type="dataBar" priority="176">
      <dataBar>
        <cfvo type="num" val="0"/>
        <cfvo type="num" val="1"/>
        <color theme="0" tint="-0.249977111117893"/>
      </dataBar>
      <extLst>
        <ext xmlns:x14="http://schemas.microsoft.com/office/spreadsheetml/2009/9/main" uri="{B025F937-C7B1-47D3-B67F-A62EFF666E3E}">
          <x14:id>{5B9B2DA9-468D-4C68-B5E4-BCBF0BF042A1}</x14:id>
        </ext>
      </extLst>
    </cfRule>
  </conditionalFormatting>
  <conditionalFormatting sqref="D113">
    <cfRule type="dataBar" priority="175">
      <dataBar>
        <cfvo type="num" val="0"/>
        <cfvo type="num" val="1"/>
        <color theme="0" tint="-0.249977111117893"/>
      </dataBar>
      <extLst>
        <ext xmlns:x14="http://schemas.microsoft.com/office/spreadsheetml/2009/9/main" uri="{B025F937-C7B1-47D3-B67F-A62EFF666E3E}">
          <x14:id>{6BE2CC1A-1881-4CE6-BB50-C6BCF889E62D}</x14:id>
        </ext>
      </extLst>
    </cfRule>
  </conditionalFormatting>
  <conditionalFormatting sqref="D115">
    <cfRule type="dataBar" priority="174">
      <dataBar>
        <cfvo type="num" val="0"/>
        <cfvo type="num" val="1"/>
        <color theme="0" tint="-0.249977111117893"/>
      </dataBar>
      <extLst>
        <ext xmlns:x14="http://schemas.microsoft.com/office/spreadsheetml/2009/9/main" uri="{B025F937-C7B1-47D3-B67F-A62EFF666E3E}">
          <x14:id>{88F5A52F-945D-453B-8C41-4C15445E03B5}</x14:id>
        </ext>
      </extLst>
    </cfRule>
  </conditionalFormatting>
  <conditionalFormatting sqref="D116">
    <cfRule type="dataBar" priority="173">
      <dataBar>
        <cfvo type="num" val="0"/>
        <cfvo type="num" val="1"/>
        <color theme="0" tint="-0.249977111117893"/>
      </dataBar>
      <extLst>
        <ext xmlns:x14="http://schemas.microsoft.com/office/spreadsheetml/2009/9/main" uri="{B025F937-C7B1-47D3-B67F-A62EFF666E3E}">
          <x14:id>{7F68FF78-30EB-415D-BB86-9E6116AA1C98}</x14:id>
        </ext>
      </extLst>
    </cfRule>
  </conditionalFormatting>
  <conditionalFormatting sqref="D139">
    <cfRule type="dataBar" priority="172">
      <dataBar>
        <cfvo type="num" val="0"/>
        <cfvo type="num" val="1"/>
        <color theme="0" tint="-0.249977111117893"/>
      </dataBar>
      <extLst>
        <ext xmlns:x14="http://schemas.microsoft.com/office/spreadsheetml/2009/9/main" uri="{B025F937-C7B1-47D3-B67F-A62EFF666E3E}">
          <x14:id>{A752558A-BDAD-4E50-8953-96728ABACC9C}</x14:id>
        </ext>
      </extLst>
    </cfRule>
  </conditionalFormatting>
  <conditionalFormatting sqref="D141">
    <cfRule type="dataBar" priority="171">
      <dataBar>
        <cfvo type="num" val="0"/>
        <cfvo type="num" val="1"/>
        <color theme="0" tint="-0.249977111117893"/>
      </dataBar>
      <extLst>
        <ext xmlns:x14="http://schemas.microsoft.com/office/spreadsheetml/2009/9/main" uri="{B025F937-C7B1-47D3-B67F-A62EFF666E3E}">
          <x14:id>{96CF7553-66B1-43F0-A488-B74C3BA1C2E0}</x14:id>
        </ext>
      </extLst>
    </cfRule>
  </conditionalFormatting>
  <conditionalFormatting sqref="D140">
    <cfRule type="dataBar" priority="170">
      <dataBar>
        <cfvo type="num" val="0"/>
        <cfvo type="num" val="1"/>
        <color theme="0" tint="-0.249977111117893"/>
      </dataBar>
      <extLst>
        <ext xmlns:x14="http://schemas.microsoft.com/office/spreadsheetml/2009/9/main" uri="{B025F937-C7B1-47D3-B67F-A62EFF666E3E}">
          <x14:id>{FAA3A1CC-08F3-4810-9A3E-F87A49BF751F}</x14:id>
        </ext>
      </extLst>
    </cfRule>
  </conditionalFormatting>
  <conditionalFormatting sqref="D142">
    <cfRule type="dataBar" priority="169">
      <dataBar>
        <cfvo type="num" val="0"/>
        <cfvo type="num" val="1"/>
        <color theme="0" tint="-0.249977111117893"/>
      </dataBar>
      <extLst>
        <ext xmlns:x14="http://schemas.microsoft.com/office/spreadsheetml/2009/9/main" uri="{B025F937-C7B1-47D3-B67F-A62EFF666E3E}">
          <x14:id>{076C4FAB-41CD-4EF4-9F4F-ACC79B1D7281}</x14:id>
        </ext>
      </extLst>
    </cfRule>
  </conditionalFormatting>
  <conditionalFormatting sqref="D143">
    <cfRule type="dataBar" priority="168">
      <dataBar>
        <cfvo type="num" val="0"/>
        <cfvo type="num" val="1"/>
        <color theme="0" tint="-0.249977111117893"/>
      </dataBar>
      <extLst>
        <ext xmlns:x14="http://schemas.microsoft.com/office/spreadsheetml/2009/9/main" uri="{B025F937-C7B1-47D3-B67F-A62EFF666E3E}">
          <x14:id>{5D7501C1-6040-48DE-AB79-F85BC3A56404}</x14:id>
        </ext>
      </extLst>
    </cfRule>
  </conditionalFormatting>
  <conditionalFormatting sqref="D145">
    <cfRule type="dataBar" priority="167">
      <dataBar>
        <cfvo type="num" val="0"/>
        <cfvo type="num" val="1"/>
        <color theme="0" tint="-0.249977111117893"/>
      </dataBar>
      <extLst>
        <ext xmlns:x14="http://schemas.microsoft.com/office/spreadsheetml/2009/9/main" uri="{B025F937-C7B1-47D3-B67F-A62EFF666E3E}">
          <x14:id>{8342D6FD-976B-429F-B620-B03D8378EE56}</x14:id>
        </ext>
      </extLst>
    </cfRule>
  </conditionalFormatting>
  <conditionalFormatting sqref="D144">
    <cfRule type="dataBar" priority="166">
      <dataBar>
        <cfvo type="num" val="0"/>
        <cfvo type="num" val="1"/>
        <color theme="0" tint="-0.249977111117893"/>
      </dataBar>
      <extLst>
        <ext xmlns:x14="http://schemas.microsoft.com/office/spreadsheetml/2009/9/main" uri="{B025F937-C7B1-47D3-B67F-A62EFF666E3E}">
          <x14:id>{CF57DF3A-86A3-4F8F-AA36-AD1F8885B90D}</x14:id>
        </ext>
      </extLst>
    </cfRule>
  </conditionalFormatting>
  <conditionalFormatting sqref="D146">
    <cfRule type="dataBar" priority="165">
      <dataBar>
        <cfvo type="num" val="0"/>
        <cfvo type="num" val="1"/>
        <color theme="0" tint="-0.249977111117893"/>
      </dataBar>
      <extLst>
        <ext xmlns:x14="http://schemas.microsoft.com/office/spreadsheetml/2009/9/main" uri="{B025F937-C7B1-47D3-B67F-A62EFF666E3E}">
          <x14:id>{5F2EBE6C-0381-4E7E-AC9A-4DE40239ABDA}</x14:id>
        </ext>
      </extLst>
    </cfRule>
  </conditionalFormatting>
  <conditionalFormatting sqref="D147">
    <cfRule type="dataBar" priority="164">
      <dataBar>
        <cfvo type="num" val="0"/>
        <cfvo type="num" val="1"/>
        <color theme="0" tint="-0.249977111117893"/>
      </dataBar>
      <extLst>
        <ext xmlns:x14="http://schemas.microsoft.com/office/spreadsheetml/2009/9/main" uri="{B025F937-C7B1-47D3-B67F-A62EFF666E3E}">
          <x14:id>{0FB0868A-00FB-4708-BFBD-206FD3557F36}</x14:id>
        </ext>
      </extLst>
    </cfRule>
  </conditionalFormatting>
  <conditionalFormatting sqref="D186">
    <cfRule type="dataBar" priority="163">
      <dataBar>
        <cfvo type="num" val="0"/>
        <cfvo type="num" val="1"/>
        <color theme="0" tint="-0.249977111117893"/>
      </dataBar>
      <extLst>
        <ext xmlns:x14="http://schemas.microsoft.com/office/spreadsheetml/2009/9/main" uri="{B025F937-C7B1-47D3-B67F-A62EFF666E3E}">
          <x14:id>{1E1C630D-C271-4DFF-9388-8B3AA53E9389}</x14:id>
        </ext>
      </extLst>
    </cfRule>
  </conditionalFormatting>
  <conditionalFormatting sqref="D188">
    <cfRule type="dataBar" priority="162">
      <dataBar>
        <cfvo type="num" val="0"/>
        <cfvo type="num" val="1"/>
        <color theme="0" tint="-0.249977111117893"/>
      </dataBar>
      <extLst>
        <ext xmlns:x14="http://schemas.microsoft.com/office/spreadsheetml/2009/9/main" uri="{B025F937-C7B1-47D3-B67F-A62EFF666E3E}">
          <x14:id>{B79BE7E0-5746-40BC-BFDD-6AB44577824C}</x14:id>
        </ext>
      </extLst>
    </cfRule>
  </conditionalFormatting>
  <conditionalFormatting sqref="D187">
    <cfRule type="dataBar" priority="161">
      <dataBar>
        <cfvo type="num" val="0"/>
        <cfvo type="num" val="1"/>
        <color theme="0" tint="-0.249977111117893"/>
      </dataBar>
      <extLst>
        <ext xmlns:x14="http://schemas.microsoft.com/office/spreadsheetml/2009/9/main" uri="{B025F937-C7B1-47D3-B67F-A62EFF666E3E}">
          <x14:id>{3876D18E-3B73-443F-97C3-0C8E5FBD1255}</x14:id>
        </ext>
      </extLst>
    </cfRule>
  </conditionalFormatting>
  <conditionalFormatting sqref="D189">
    <cfRule type="dataBar" priority="160">
      <dataBar>
        <cfvo type="num" val="0"/>
        <cfvo type="num" val="1"/>
        <color theme="0" tint="-0.249977111117893"/>
      </dataBar>
      <extLst>
        <ext xmlns:x14="http://schemas.microsoft.com/office/spreadsheetml/2009/9/main" uri="{B025F937-C7B1-47D3-B67F-A62EFF666E3E}">
          <x14:id>{91362199-0A79-476E-86D5-73C26AC94461}</x14:id>
        </ext>
      </extLst>
    </cfRule>
  </conditionalFormatting>
  <conditionalFormatting sqref="D193">
    <cfRule type="dataBar" priority="158">
      <dataBar>
        <cfvo type="num" val="0"/>
        <cfvo type="num" val="1"/>
        <color theme="0" tint="-0.249977111117893"/>
      </dataBar>
      <extLst>
        <ext xmlns:x14="http://schemas.microsoft.com/office/spreadsheetml/2009/9/main" uri="{B025F937-C7B1-47D3-B67F-A62EFF666E3E}">
          <x14:id>{66283EF3-664A-4C5C-AC03-697C52330225}</x14:id>
        </ext>
      </extLst>
    </cfRule>
  </conditionalFormatting>
  <conditionalFormatting sqref="D192">
    <cfRule type="dataBar" priority="157">
      <dataBar>
        <cfvo type="num" val="0"/>
        <cfvo type="num" val="1"/>
        <color theme="0" tint="-0.249977111117893"/>
      </dataBar>
      <extLst>
        <ext xmlns:x14="http://schemas.microsoft.com/office/spreadsheetml/2009/9/main" uri="{B025F937-C7B1-47D3-B67F-A62EFF666E3E}">
          <x14:id>{F106BE56-ABAE-43A9-8523-E4CD9BAD6200}</x14:id>
        </ext>
      </extLst>
    </cfRule>
  </conditionalFormatting>
  <conditionalFormatting sqref="D194">
    <cfRule type="dataBar" priority="156">
      <dataBar>
        <cfvo type="num" val="0"/>
        <cfvo type="num" val="1"/>
        <color theme="0" tint="-0.249977111117893"/>
      </dataBar>
      <extLst>
        <ext xmlns:x14="http://schemas.microsoft.com/office/spreadsheetml/2009/9/main" uri="{B025F937-C7B1-47D3-B67F-A62EFF666E3E}">
          <x14:id>{907C2458-B15C-4027-AD95-5BEFA8DB2E47}</x14:id>
        </ext>
      </extLst>
    </cfRule>
  </conditionalFormatting>
  <conditionalFormatting sqref="D190">
    <cfRule type="dataBar" priority="155">
      <dataBar>
        <cfvo type="num" val="0"/>
        <cfvo type="num" val="1"/>
        <color theme="0" tint="-0.249977111117893"/>
      </dataBar>
      <extLst>
        <ext xmlns:x14="http://schemas.microsoft.com/office/spreadsheetml/2009/9/main" uri="{B025F937-C7B1-47D3-B67F-A62EFF666E3E}">
          <x14:id>{F8514D57-03DD-4D62-841F-DD81340E9150}</x14:id>
        </ext>
      </extLst>
    </cfRule>
  </conditionalFormatting>
  <conditionalFormatting sqref="D191">
    <cfRule type="dataBar" priority="154">
      <dataBar>
        <cfvo type="num" val="0"/>
        <cfvo type="num" val="1"/>
        <color theme="0" tint="-0.249977111117893"/>
      </dataBar>
      <extLst>
        <ext xmlns:x14="http://schemas.microsoft.com/office/spreadsheetml/2009/9/main" uri="{B025F937-C7B1-47D3-B67F-A62EFF666E3E}">
          <x14:id>{CA2CB4D5-447B-493C-834E-36EC649B2126}</x14:id>
        </ext>
      </extLst>
    </cfRule>
  </conditionalFormatting>
  <conditionalFormatting sqref="D195">
    <cfRule type="dataBar" priority="153">
      <dataBar>
        <cfvo type="num" val="0"/>
        <cfvo type="num" val="1"/>
        <color theme="0" tint="-0.249977111117893"/>
      </dataBar>
      <extLst>
        <ext xmlns:x14="http://schemas.microsoft.com/office/spreadsheetml/2009/9/main" uri="{B025F937-C7B1-47D3-B67F-A62EFF666E3E}">
          <x14:id>{9AB855B4-4B4F-45E4-A122-1C9F8BC34764}</x14:id>
        </ext>
      </extLst>
    </cfRule>
  </conditionalFormatting>
  <conditionalFormatting sqref="D197">
    <cfRule type="dataBar" priority="152">
      <dataBar>
        <cfvo type="num" val="0"/>
        <cfvo type="num" val="1"/>
        <color theme="0" tint="-0.249977111117893"/>
      </dataBar>
      <extLst>
        <ext xmlns:x14="http://schemas.microsoft.com/office/spreadsheetml/2009/9/main" uri="{B025F937-C7B1-47D3-B67F-A62EFF666E3E}">
          <x14:id>{07BE8FF3-F8C5-4EED-AE55-803873F2A93B}</x14:id>
        </ext>
      </extLst>
    </cfRule>
  </conditionalFormatting>
  <conditionalFormatting sqref="D196">
    <cfRule type="dataBar" priority="151">
      <dataBar>
        <cfvo type="num" val="0"/>
        <cfvo type="num" val="1"/>
        <color theme="0" tint="-0.249977111117893"/>
      </dataBar>
      <extLst>
        <ext xmlns:x14="http://schemas.microsoft.com/office/spreadsheetml/2009/9/main" uri="{B025F937-C7B1-47D3-B67F-A62EFF666E3E}">
          <x14:id>{5E275FEC-8B5F-45E3-BC2B-C8EF0C457420}</x14:id>
        </ext>
      </extLst>
    </cfRule>
  </conditionalFormatting>
  <conditionalFormatting sqref="D198">
    <cfRule type="dataBar" priority="150">
      <dataBar>
        <cfvo type="num" val="0"/>
        <cfvo type="num" val="1"/>
        <color theme="0" tint="-0.249977111117893"/>
      </dataBar>
      <extLst>
        <ext xmlns:x14="http://schemas.microsoft.com/office/spreadsheetml/2009/9/main" uri="{B025F937-C7B1-47D3-B67F-A62EFF666E3E}">
          <x14:id>{A1835A3E-D4D4-4DC7-8C78-1EA96F0F129B}</x14:id>
        </ext>
      </extLst>
    </cfRule>
  </conditionalFormatting>
  <conditionalFormatting sqref="D199">
    <cfRule type="dataBar" priority="149">
      <dataBar>
        <cfvo type="num" val="0"/>
        <cfvo type="num" val="1"/>
        <color theme="0" tint="-0.249977111117893"/>
      </dataBar>
      <extLst>
        <ext xmlns:x14="http://schemas.microsoft.com/office/spreadsheetml/2009/9/main" uri="{B025F937-C7B1-47D3-B67F-A62EFF666E3E}">
          <x14:id>{B5FAC15B-D14C-4F25-A029-C371F9870ED4}</x14:id>
        </ext>
      </extLst>
    </cfRule>
  </conditionalFormatting>
  <conditionalFormatting sqref="D201">
    <cfRule type="dataBar" priority="147">
      <dataBar>
        <cfvo type="num" val="0"/>
        <cfvo type="num" val="1"/>
        <color theme="0" tint="-0.249977111117893"/>
      </dataBar>
      <extLst>
        <ext xmlns:x14="http://schemas.microsoft.com/office/spreadsheetml/2009/9/main" uri="{B025F937-C7B1-47D3-B67F-A62EFF666E3E}">
          <x14:id>{2DFA4945-F17E-441C-A945-A6B57BC6B268}</x14:id>
        </ext>
      </extLst>
    </cfRule>
  </conditionalFormatting>
  <conditionalFormatting sqref="D200">
    <cfRule type="dataBar" priority="146">
      <dataBar>
        <cfvo type="num" val="0"/>
        <cfvo type="num" val="1"/>
        <color theme="0" tint="-0.249977111117893"/>
      </dataBar>
      <extLst>
        <ext xmlns:x14="http://schemas.microsoft.com/office/spreadsheetml/2009/9/main" uri="{B025F937-C7B1-47D3-B67F-A62EFF666E3E}">
          <x14:id>{2381103D-56AA-4D87-B479-0CA52B006399}</x14:id>
        </ext>
      </extLst>
    </cfRule>
  </conditionalFormatting>
  <conditionalFormatting sqref="D202">
    <cfRule type="dataBar" priority="145">
      <dataBar>
        <cfvo type="num" val="0"/>
        <cfvo type="num" val="1"/>
        <color theme="0" tint="-0.249977111117893"/>
      </dataBar>
      <extLst>
        <ext xmlns:x14="http://schemas.microsoft.com/office/spreadsheetml/2009/9/main" uri="{B025F937-C7B1-47D3-B67F-A62EFF666E3E}">
          <x14:id>{CD88E94A-7326-4D28-BA09-38C7525F1B75}</x14:id>
        </ext>
      </extLst>
    </cfRule>
  </conditionalFormatting>
  <conditionalFormatting sqref="D203">
    <cfRule type="dataBar" priority="143">
      <dataBar>
        <cfvo type="num" val="0"/>
        <cfvo type="num" val="1"/>
        <color theme="0" tint="-0.249977111117893"/>
      </dataBar>
      <extLst>
        <ext xmlns:x14="http://schemas.microsoft.com/office/spreadsheetml/2009/9/main" uri="{B025F937-C7B1-47D3-B67F-A62EFF666E3E}">
          <x14:id>{A8633410-5827-4ADC-B53B-824A329C5368}</x14:id>
        </ext>
      </extLst>
    </cfRule>
  </conditionalFormatting>
  <conditionalFormatting sqref="D205">
    <cfRule type="dataBar" priority="142">
      <dataBar>
        <cfvo type="num" val="0"/>
        <cfvo type="num" val="1"/>
        <color theme="0" tint="-0.249977111117893"/>
      </dataBar>
      <extLst>
        <ext xmlns:x14="http://schemas.microsoft.com/office/spreadsheetml/2009/9/main" uri="{B025F937-C7B1-47D3-B67F-A62EFF666E3E}">
          <x14:id>{B265C14D-A318-4BE4-BD21-EA4D20F33CE3}</x14:id>
        </ext>
      </extLst>
    </cfRule>
  </conditionalFormatting>
  <conditionalFormatting sqref="D204">
    <cfRule type="dataBar" priority="141">
      <dataBar>
        <cfvo type="num" val="0"/>
        <cfvo type="num" val="1"/>
        <color theme="0" tint="-0.249977111117893"/>
      </dataBar>
      <extLst>
        <ext xmlns:x14="http://schemas.microsoft.com/office/spreadsheetml/2009/9/main" uri="{B025F937-C7B1-47D3-B67F-A62EFF666E3E}">
          <x14:id>{0975E921-014A-4260-B42B-4AC37DC2BE82}</x14:id>
        </ext>
      </extLst>
    </cfRule>
  </conditionalFormatting>
  <conditionalFormatting sqref="D206">
    <cfRule type="dataBar" priority="140">
      <dataBar>
        <cfvo type="num" val="0"/>
        <cfvo type="num" val="1"/>
        <color theme="0" tint="-0.249977111117893"/>
      </dataBar>
      <extLst>
        <ext xmlns:x14="http://schemas.microsoft.com/office/spreadsheetml/2009/9/main" uri="{B025F937-C7B1-47D3-B67F-A62EFF666E3E}">
          <x14:id>{3AE256E1-8681-4938-8E60-EFC3840A9B14}</x14:id>
        </ext>
      </extLst>
    </cfRule>
  </conditionalFormatting>
  <conditionalFormatting sqref="D207">
    <cfRule type="dataBar" priority="139">
      <dataBar>
        <cfvo type="num" val="0"/>
        <cfvo type="num" val="1"/>
        <color theme="0" tint="-0.249977111117893"/>
      </dataBar>
      <extLst>
        <ext xmlns:x14="http://schemas.microsoft.com/office/spreadsheetml/2009/9/main" uri="{B025F937-C7B1-47D3-B67F-A62EFF666E3E}">
          <x14:id>{BC5894B2-4698-4B55-8AC1-9F871414161D}</x14:id>
        </ext>
      </extLst>
    </cfRule>
  </conditionalFormatting>
  <conditionalFormatting sqref="D209">
    <cfRule type="dataBar" priority="138">
      <dataBar>
        <cfvo type="num" val="0"/>
        <cfvo type="num" val="1"/>
        <color theme="0" tint="-0.249977111117893"/>
      </dataBar>
      <extLst>
        <ext xmlns:x14="http://schemas.microsoft.com/office/spreadsheetml/2009/9/main" uri="{B025F937-C7B1-47D3-B67F-A62EFF666E3E}">
          <x14:id>{393D40EF-830E-480E-BFFE-2B8D19E86919}</x14:id>
        </ext>
      </extLst>
    </cfRule>
  </conditionalFormatting>
  <conditionalFormatting sqref="D208">
    <cfRule type="dataBar" priority="137">
      <dataBar>
        <cfvo type="num" val="0"/>
        <cfvo type="num" val="1"/>
        <color theme="0" tint="-0.249977111117893"/>
      </dataBar>
      <extLst>
        <ext xmlns:x14="http://schemas.microsoft.com/office/spreadsheetml/2009/9/main" uri="{B025F937-C7B1-47D3-B67F-A62EFF666E3E}">
          <x14:id>{5B2805D5-4872-4E28-8957-96033D188E3E}</x14:id>
        </ext>
      </extLst>
    </cfRule>
  </conditionalFormatting>
  <conditionalFormatting sqref="D210">
    <cfRule type="dataBar" priority="136">
      <dataBar>
        <cfvo type="num" val="0"/>
        <cfvo type="num" val="1"/>
        <color theme="0" tint="-0.249977111117893"/>
      </dataBar>
      <extLst>
        <ext xmlns:x14="http://schemas.microsoft.com/office/spreadsheetml/2009/9/main" uri="{B025F937-C7B1-47D3-B67F-A62EFF666E3E}">
          <x14:id>{7C876D5B-C26F-4996-B8AC-8830BC658732}</x14:id>
        </ext>
      </extLst>
    </cfRule>
  </conditionalFormatting>
  <conditionalFormatting sqref="D211">
    <cfRule type="dataBar" priority="135">
      <dataBar>
        <cfvo type="num" val="0"/>
        <cfvo type="num" val="1"/>
        <color theme="0" tint="-0.249977111117893"/>
      </dataBar>
      <extLst>
        <ext xmlns:x14="http://schemas.microsoft.com/office/spreadsheetml/2009/9/main" uri="{B025F937-C7B1-47D3-B67F-A62EFF666E3E}">
          <x14:id>{F6A1F65E-6919-4D7A-9C5A-BE3871F9C96D}</x14:id>
        </ext>
      </extLst>
    </cfRule>
  </conditionalFormatting>
  <conditionalFormatting sqref="D213">
    <cfRule type="dataBar" priority="134">
      <dataBar>
        <cfvo type="num" val="0"/>
        <cfvo type="num" val="1"/>
        <color theme="0" tint="-0.249977111117893"/>
      </dataBar>
      <extLst>
        <ext xmlns:x14="http://schemas.microsoft.com/office/spreadsheetml/2009/9/main" uri="{B025F937-C7B1-47D3-B67F-A62EFF666E3E}">
          <x14:id>{96A2C161-B3CB-49C9-933F-30C180B16EDA}</x14:id>
        </ext>
      </extLst>
    </cfRule>
  </conditionalFormatting>
  <conditionalFormatting sqref="D212">
    <cfRule type="dataBar" priority="133">
      <dataBar>
        <cfvo type="num" val="0"/>
        <cfvo type="num" val="1"/>
        <color theme="0" tint="-0.249977111117893"/>
      </dataBar>
      <extLst>
        <ext xmlns:x14="http://schemas.microsoft.com/office/spreadsheetml/2009/9/main" uri="{B025F937-C7B1-47D3-B67F-A62EFF666E3E}">
          <x14:id>{95DBE63F-5F64-4A91-A75B-5F8E0984460B}</x14:id>
        </ext>
      </extLst>
    </cfRule>
  </conditionalFormatting>
  <conditionalFormatting sqref="D214">
    <cfRule type="dataBar" priority="132">
      <dataBar>
        <cfvo type="num" val="0"/>
        <cfvo type="num" val="1"/>
        <color theme="0" tint="-0.249977111117893"/>
      </dataBar>
      <extLst>
        <ext xmlns:x14="http://schemas.microsoft.com/office/spreadsheetml/2009/9/main" uri="{B025F937-C7B1-47D3-B67F-A62EFF666E3E}">
          <x14:id>{423E493E-0BA4-4815-A235-703C434F500B}</x14:id>
        </ext>
      </extLst>
    </cfRule>
  </conditionalFormatting>
  <conditionalFormatting sqref="D216">
    <cfRule type="dataBar" priority="127">
      <dataBar>
        <cfvo type="num" val="0"/>
        <cfvo type="num" val="1"/>
        <color theme="0" tint="-0.249977111117893"/>
      </dataBar>
      <extLst>
        <ext xmlns:x14="http://schemas.microsoft.com/office/spreadsheetml/2009/9/main" uri="{B025F937-C7B1-47D3-B67F-A62EFF666E3E}">
          <x14:id>{E426BA98-C923-4606-BE56-D9CA853B3DF3}</x14:id>
        </ext>
      </extLst>
    </cfRule>
  </conditionalFormatting>
  <conditionalFormatting sqref="D215">
    <cfRule type="dataBar" priority="126">
      <dataBar>
        <cfvo type="num" val="0"/>
        <cfvo type="num" val="1"/>
        <color theme="0" tint="-0.249977111117893"/>
      </dataBar>
      <extLst>
        <ext xmlns:x14="http://schemas.microsoft.com/office/spreadsheetml/2009/9/main" uri="{B025F937-C7B1-47D3-B67F-A62EFF666E3E}">
          <x14:id>{D360F248-01A1-4858-9C43-63B92ADD3903}</x14:id>
        </ext>
      </extLst>
    </cfRule>
  </conditionalFormatting>
  <conditionalFormatting sqref="D217">
    <cfRule type="dataBar" priority="125">
      <dataBar>
        <cfvo type="num" val="0"/>
        <cfvo type="num" val="1"/>
        <color theme="0" tint="-0.249977111117893"/>
      </dataBar>
      <extLst>
        <ext xmlns:x14="http://schemas.microsoft.com/office/spreadsheetml/2009/9/main" uri="{B025F937-C7B1-47D3-B67F-A62EFF666E3E}">
          <x14:id>{CDEAD854-A43D-4BF3-A0A4-F84DB28B9555}</x14:id>
        </ext>
      </extLst>
    </cfRule>
  </conditionalFormatting>
  <conditionalFormatting sqref="D219">
    <cfRule type="dataBar" priority="124">
      <dataBar>
        <cfvo type="num" val="0"/>
        <cfvo type="num" val="1"/>
        <color theme="0" tint="-0.249977111117893"/>
      </dataBar>
      <extLst>
        <ext xmlns:x14="http://schemas.microsoft.com/office/spreadsheetml/2009/9/main" uri="{B025F937-C7B1-47D3-B67F-A62EFF666E3E}">
          <x14:id>{D27CF016-A982-48F7-8C21-2A0B40BE4091}</x14:id>
        </ext>
      </extLst>
    </cfRule>
  </conditionalFormatting>
  <conditionalFormatting sqref="D218">
    <cfRule type="dataBar" priority="123">
      <dataBar>
        <cfvo type="num" val="0"/>
        <cfvo type="num" val="1"/>
        <color theme="0" tint="-0.249977111117893"/>
      </dataBar>
      <extLst>
        <ext xmlns:x14="http://schemas.microsoft.com/office/spreadsheetml/2009/9/main" uri="{B025F937-C7B1-47D3-B67F-A62EFF666E3E}">
          <x14:id>{8E07DEE4-A81C-4FDD-B91D-888B0112DA7A}</x14:id>
        </ext>
      </extLst>
    </cfRule>
  </conditionalFormatting>
  <conditionalFormatting sqref="D220">
    <cfRule type="dataBar" priority="122">
      <dataBar>
        <cfvo type="num" val="0"/>
        <cfvo type="num" val="1"/>
        <color theme="0" tint="-0.249977111117893"/>
      </dataBar>
      <extLst>
        <ext xmlns:x14="http://schemas.microsoft.com/office/spreadsheetml/2009/9/main" uri="{B025F937-C7B1-47D3-B67F-A62EFF666E3E}">
          <x14:id>{0389C43F-2D25-496E-904A-69435C7BE24F}</x14:id>
        </ext>
      </extLst>
    </cfRule>
  </conditionalFormatting>
  <conditionalFormatting sqref="D222">
    <cfRule type="dataBar" priority="121">
      <dataBar>
        <cfvo type="num" val="0"/>
        <cfvo type="num" val="1"/>
        <color theme="0" tint="-0.249977111117893"/>
      </dataBar>
      <extLst>
        <ext xmlns:x14="http://schemas.microsoft.com/office/spreadsheetml/2009/9/main" uri="{B025F937-C7B1-47D3-B67F-A62EFF666E3E}">
          <x14:id>{B53BE1F1-6B56-4672-B602-7F02A3EC780D}</x14:id>
        </ext>
      </extLst>
    </cfRule>
  </conditionalFormatting>
  <conditionalFormatting sqref="D221">
    <cfRule type="dataBar" priority="120">
      <dataBar>
        <cfvo type="num" val="0"/>
        <cfvo type="num" val="1"/>
        <color theme="0" tint="-0.249977111117893"/>
      </dataBar>
      <extLst>
        <ext xmlns:x14="http://schemas.microsoft.com/office/spreadsheetml/2009/9/main" uri="{B025F937-C7B1-47D3-B67F-A62EFF666E3E}">
          <x14:id>{A51F33E6-4083-48DF-8E61-0D836CDA5395}</x14:id>
        </ext>
      </extLst>
    </cfRule>
  </conditionalFormatting>
  <conditionalFormatting sqref="D223">
    <cfRule type="dataBar" priority="119">
      <dataBar>
        <cfvo type="num" val="0"/>
        <cfvo type="num" val="1"/>
        <color theme="0" tint="-0.249977111117893"/>
      </dataBar>
      <extLst>
        <ext xmlns:x14="http://schemas.microsoft.com/office/spreadsheetml/2009/9/main" uri="{B025F937-C7B1-47D3-B67F-A62EFF666E3E}">
          <x14:id>{81A0C471-9B74-4AE3-94D1-54250C4FEB25}</x14:id>
        </ext>
      </extLst>
    </cfRule>
  </conditionalFormatting>
  <conditionalFormatting sqref="D225">
    <cfRule type="dataBar" priority="118">
      <dataBar>
        <cfvo type="num" val="0"/>
        <cfvo type="num" val="1"/>
        <color theme="0" tint="-0.249977111117893"/>
      </dataBar>
      <extLst>
        <ext xmlns:x14="http://schemas.microsoft.com/office/spreadsheetml/2009/9/main" uri="{B025F937-C7B1-47D3-B67F-A62EFF666E3E}">
          <x14:id>{E0C14D7C-5A32-4F53-ABF9-9DCA1B837A42}</x14:id>
        </ext>
      </extLst>
    </cfRule>
  </conditionalFormatting>
  <conditionalFormatting sqref="D224">
    <cfRule type="dataBar" priority="117">
      <dataBar>
        <cfvo type="num" val="0"/>
        <cfvo type="num" val="1"/>
        <color theme="0" tint="-0.249977111117893"/>
      </dataBar>
      <extLst>
        <ext xmlns:x14="http://schemas.microsoft.com/office/spreadsheetml/2009/9/main" uri="{B025F937-C7B1-47D3-B67F-A62EFF666E3E}">
          <x14:id>{063407D0-1629-451B-93ED-6CABCE5A483C}</x14:id>
        </ext>
      </extLst>
    </cfRule>
  </conditionalFormatting>
  <conditionalFormatting sqref="D226">
    <cfRule type="dataBar" priority="116">
      <dataBar>
        <cfvo type="num" val="0"/>
        <cfvo type="num" val="1"/>
        <color theme="0" tint="-0.249977111117893"/>
      </dataBar>
      <extLst>
        <ext xmlns:x14="http://schemas.microsoft.com/office/spreadsheetml/2009/9/main" uri="{B025F937-C7B1-47D3-B67F-A62EFF666E3E}">
          <x14:id>{A7D6BBE5-9F72-4E65-ABE7-C567DA0F4B04}</x14:id>
        </ext>
      </extLst>
    </cfRule>
  </conditionalFormatting>
  <conditionalFormatting sqref="D231">
    <cfRule type="dataBar" priority="115">
      <dataBar>
        <cfvo type="num" val="0"/>
        <cfvo type="num" val="1"/>
        <color theme="0" tint="-0.249977111117893"/>
      </dataBar>
      <extLst>
        <ext xmlns:x14="http://schemas.microsoft.com/office/spreadsheetml/2009/9/main" uri="{B025F937-C7B1-47D3-B67F-A62EFF666E3E}">
          <x14:id>{415C21F2-5059-49C1-BA8D-473DFA29EE51}</x14:id>
        </ext>
      </extLst>
    </cfRule>
  </conditionalFormatting>
  <conditionalFormatting sqref="D230">
    <cfRule type="dataBar" priority="114">
      <dataBar>
        <cfvo type="num" val="0"/>
        <cfvo type="num" val="1"/>
        <color theme="0" tint="-0.249977111117893"/>
      </dataBar>
      <extLst>
        <ext xmlns:x14="http://schemas.microsoft.com/office/spreadsheetml/2009/9/main" uri="{B025F937-C7B1-47D3-B67F-A62EFF666E3E}">
          <x14:id>{721B2E3E-5BCA-4806-885E-03786114058A}</x14:id>
        </ext>
      </extLst>
    </cfRule>
  </conditionalFormatting>
  <conditionalFormatting sqref="D232">
    <cfRule type="dataBar" priority="113">
      <dataBar>
        <cfvo type="num" val="0"/>
        <cfvo type="num" val="1"/>
        <color theme="0" tint="-0.249977111117893"/>
      </dataBar>
      <extLst>
        <ext xmlns:x14="http://schemas.microsoft.com/office/spreadsheetml/2009/9/main" uri="{B025F937-C7B1-47D3-B67F-A62EFF666E3E}">
          <x14:id>{3A518903-A3DE-4A9A-A7A7-03C684D56BBA}</x14:id>
        </ext>
      </extLst>
    </cfRule>
  </conditionalFormatting>
  <conditionalFormatting sqref="D234">
    <cfRule type="dataBar" priority="112">
      <dataBar>
        <cfvo type="num" val="0"/>
        <cfvo type="num" val="1"/>
        <color theme="0" tint="-0.249977111117893"/>
      </dataBar>
      <extLst>
        <ext xmlns:x14="http://schemas.microsoft.com/office/spreadsheetml/2009/9/main" uri="{B025F937-C7B1-47D3-B67F-A62EFF666E3E}">
          <x14:id>{B69ACDBE-700D-4AEC-837C-1B7411F4632B}</x14:id>
        </ext>
      </extLst>
    </cfRule>
  </conditionalFormatting>
  <conditionalFormatting sqref="D233">
    <cfRule type="dataBar" priority="111">
      <dataBar>
        <cfvo type="num" val="0"/>
        <cfvo type="num" val="1"/>
        <color theme="0" tint="-0.249977111117893"/>
      </dataBar>
      <extLst>
        <ext xmlns:x14="http://schemas.microsoft.com/office/spreadsheetml/2009/9/main" uri="{B025F937-C7B1-47D3-B67F-A62EFF666E3E}">
          <x14:id>{DE5567E8-CB66-4038-BA2B-D169AAAD83F8}</x14:id>
        </ext>
      </extLst>
    </cfRule>
  </conditionalFormatting>
  <conditionalFormatting sqref="D235">
    <cfRule type="dataBar" priority="110">
      <dataBar>
        <cfvo type="num" val="0"/>
        <cfvo type="num" val="1"/>
        <color theme="0" tint="-0.249977111117893"/>
      </dataBar>
      <extLst>
        <ext xmlns:x14="http://schemas.microsoft.com/office/spreadsheetml/2009/9/main" uri="{B025F937-C7B1-47D3-B67F-A62EFF666E3E}">
          <x14:id>{F6D40B49-A534-497A-B0CC-F2B0B218040F}</x14:id>
        </ext>
      </extLst>
    </cfRule>
  </conditionalFormatting>
  <conditionalFormatting sqref="D237">
    <cfRule type="dataBar" priority="109">
      <dataBar>
        <cfvo type="num" val="0"/>
        <cfvo type="num" val="1"/>
        <color theme="0" tint="-0.249977111117893"/>
      </dataBar>
      <extLst>
        <ext xmlns:x14="http://schemas.microsoft.com/office/spreadsheetml/2009/9/main" uri="{B025F937-C7B1-47D3-B67F-A62EFF666E3E}">
          <x14:id>{557DBBF0-D027-47D8-98DB-8A7407856B9B}</x14:id>
        </ext>
      </extLst>
    </cfRule>
  </conditionalFormatting>
  <conditionalFormatting sqref="D236">
    <cfRule type="dataBar" priority="108">
      <dataBar>
        <cfvo type="num" val="0"/>
        <cfvo type="num" val="1"/>
        <color theme="0" tint="-0.249977111117893"/>
      </dataBar>
      <extLst>
        <ext xmlns:x14="http://schemas.microsoft.com/office/spreadsheetml/2009/9/main" uri="{B025F937-C7B1-47D3-B67F-A62EFF666E3E}">
          <x14:id>{F1CD845A-BB07-4210-83B3-919F55B2838B}</x14:id>
        </ext>
      </extLst>
    </cfRule>
  </conditionalFormatting>
  <conditionalFormatting sqref="D238">
    <cfRule type="dataBar" priority="107">
      <dataBar>
        <cfvo type="num" val="0"/>
        <cfvo type="num" val="1"/>
        <color theme="0" tint="-0.249977111117893"/>
      </dataBar>
      <extLst>
        <ext xmlns:x14="http://schemas.microsoft.com/office/spreadsheetml/2009/9/main" uri="{B025F937-C7B1-47D3-B67F-A62EFF666E3E}">
          <x14:id>{67B0E7F8-CD84-42A9-A3B8-B94FEA79FDBC}</x14:id>
        </ext>
      </extLst>
    </cfRule>
  </conditionalFormatting>
  <conditionalFormatting sqref="D240">
    <cfRule type="dataBar" priority="106">
      <dataBar>
        <cfvo type="num" val="0"/>
        <cfvo type="num" val="1"/>
        <color theme="0" tint="-0.249977111117893"/>
      </dataBar>
      <extLst>
        <ext xmlns:x14="http://schemas.microsoft.com/office/spreadsheetml/2009/9/main" uri="{B025F937-C7B1-47D3-B67F-A62EFF666E3E}">
          <x14:id>{C17C5A26-57DC-43AB-908A-CD4B3E171EB3}</x14:id>
        </ext>
      </extLst>
    </cfRule>
  </conditionalFormatting>
  <conditionalFormatting sqref="D239">
    <cfRule type="dataBar" priority="105">
      <dataBar>
        <cfvo type="num" val="0"/>
        <cfvo type="num" val="1"/>
        <color theme="0" tint="-0.249977111117893"/>
      </dataBar>
      <extLst>
        <ext xmlns:x14="http://schemas.microsoft.com/office/spreadsheetml/2009/9/main" uri="{B025F937-C7B1-47D3-B67F-A62EFF666E3E}">
          <x14:id>{D873A296-C12A-4ED7-BAC3-EDE75235B4CA}</x14:id>
        </ext>
      </extLst>
    </cfRule>
  </conditionalFormatting>
  <conditionalFormatting sqref="D241">
    <cfRule type="dataBar" priority="104">
      <dataBar>
        <cfvo type="num" val="0"/>
        <cfvo type="num" val="1"/>
        <color theme="0" tint="-0.249977111117893"/>
      </dataBar>
      <extLst>
        <ext xmlns:x14="http://schemas.microsoft.com/office/spreadsheetml/2009/9/main" uri="{B025F937-C7B1-47D3-B67F-A62EFF666E3E}">
          <x14:id>{63A45EEB-24CC-4C70-BA73-6197219A7E7F}</x14:id>
        </ext>
      </extLst>
    </cfRule>
  </conditionalFormatting>
  <conditionalFormatting sqref="D243">
    <cfRule type="dataBar" priority="103">
      <dataBar>
        <cfvo type="num" val="0"/>
        <cfvo type="num" val="1"/>
        <color theme="0" tint="-0.249977111117893"/>
      </dataBar>
      <extLst>
        <ext xmlns:x14="http://schemas.microsoft.com/office/spreadsheetml/2009/9/main" uri="{B025F937-C7B1-47D3-B67F-A62EFF666E3E}">
          <x14:id>{093EA524-A93B-41E7-8F32-FEC3C8BCDA0E}</x14:id>
        </ext>
      </extLst>
    </cfRule>
  </conditionalFormatting>
  <conditionalFormatting sqref="D242">
    <cfRule type="dataBar" priority="102">
      <dataBar>
        <cfvo type="num" val="0"/>
        <cfvo type="num" val="1"/>
        <color theme="0" tint="-0.249977111117893"/>
      </dataBar>
      <extLst>
        <ext xmlns:x14="http://schemas.microsoft.com/office/spreadsheetml/2009/9/main" uri="{B025F937-C7B1-47D3-B67F-A62EFF666E3E}">
          <x14:id>{9817AF3F-1E5F-40E5-91A0-64D57DB97DD1}</x14:id>
        </ext>
      </extLst>
    </cfRule>
  </conditionalFormatting>
  <conditionalFormatting sqref="D244">
    <cfRule type="dataBar" priority="101">
      <dataBar>
        <cfvo type="num" val="0"/>
        <cfvo type="num" val="1"/>
        <color theme="0" tint="-0.249977111117893"/>
      </dataBar>
      <extLst>
        <ext xmlns:x14="http://schemas.microsoft.com/office/spreadsheetml/2009/9/main" uri="{B025F937-C7B1-47D3-B67F-A62EFF666E3E}">
          <x14:id>{81E3A1C8-ECC7-401E-A79B-89FE1274FFC3}</x14:id>
        </ext>
      </extLst>
    </cfRule>
  </conditionalFormatting>
  <conditionalFormatting sqref="D246">
    <cfRule type="dataBar" priority="100">
      <dataBar>
        <cfvo type="num" val="0"/>
        <cfvo type="num" val="1"/>
        <color theme="0" tint="-0.249977111117893"/>
      </dataBar>
      <extLst>
        <ext xmlns:x14="http://schemas.microsoft.com/office/spreadsheetml/2009/9/main" uri="{B025F937-C7B1-47D3-B67F-A62EFF666E3E}">
          <x14:id>{7E321A92-2582-4C0B-A9F9-3509E9DC4F79}</x14:id>
        </ext>
      </extLst>
    </cfRule>
  </conditionalFormatting>
  <conditionalFormatting sqref="D245">
    <cfRule type="dataBar" priority="99">
      <dataBar>
        <cfvo type="num" val="0"/>
        <cfvo type="num" val="1"/>
        <color theme="0" tint="-0.249977111117893"/>
      </dataBar>
      <extLst>
        <ext xmlns:x14="http://schemas.microsoft.com/office/spreadsheetml/2009/9/main" uri="{B025F937-C7B1-47D3-B67F-A62EFF666E3E}">
          <x14:id>{7AD55B82-BBE8-4AEA-A7F6-53C6F805677F}</x14:id>
        </ext>
      </extLst>
    </cfRule>
  </conditionalFormatting>
  <conditionalFormatting sqref="D247">
    <cfRule type="dataBar" priority="98">
      <dataBar>
        <cfvo type="num" val="0"/>
        <cfvo type="num" val="1"/>
        <color theme="0" tint="-0.249977111117893"/>
      </dataBar>
      <extLst>
        <ext xmlns:x14="http://schemas.microsoft.com/office/spreadsheetml/2009/9/main" uri="{B025F937-C7B1-47D3-B67F-A62EFF666E3E}">
          <x14:id>{05603C8E-F32A-4416-A667-271E3E598BC9}</x14:id>
        </ext>
      </extLst>
    </cfRule>
  </conditionalFormatting>
  <conditionalFormatting sqref="D248">
    <cfRule type="dataBar" priority="97">
      <dataBar>
        <cfvo type="num" val="0"/>
        <cfvo type="num" val="1"/>
        <color theme="0" tint="-0.249977111117893"/>
      </dataBar>
      <extLst>
        <ext xmlns:x14="http://schemas.microsoft.com/office/spreadsheetml/2009/9/main" uri="{B025F937-C7B1-47D3-B67F-A62EFF666E3E}">
          <x14:id>{35A03A4D-5C0F-4D17-9B82-2C1807F28736}</x14:id>
        </ext>
      </extLst>
    </cfRule>
  </conditionalFormatting>
  <conditionalFormatting sqref="D250">
    <cfRule type="dataBar" priority="96">
      <dataBar>
        <cfvo type="num" val="0"/>
        <cfvo type="num" val="1"/>
        <color theme="0" tint="-0.249977111117893"/>
      </dataBar>
      <extLst>
        <ext xmlns:x14="http://schemas.microsoft.com/office/spreadsheetml/2009/9/main" uri="{B025F937-C7B1-47D3-B67F-A62EFF666E3E}">
          <x14:id>{89F39A3E-FB75-4200-8E6C-13365469E824}</x14:id>
        </ext>
      </extLst>
    </cfRule>
  </conditionalFormatting>
  <conditionalFormatting sqref="D249">
    <cfRule type="dataBar" priority="95">
      <dataBar>
        <cfvo type="num" val="0"/>
        <cfvo type="num" val="1"/>
        <color theme="0" tint="-0.249977111117893"/>
      </dataBar>
      <extLst>
        <ext xmlns:x14="http://schemas.microsoft.com/office/spreadsheetml/2009/9/main" uri="{B025F937-C7B1-47D3-B67F-A62EFF666E3E}">
          <x14:id>{8236C168-07DA-473D-99E6-3A657EECE6D6}</x14:id>
        </ext>
      </extLst>
    </cfRule>
  </conditionalFormatting>
  <conditionalFormatting sqref="D148">
    <cfRule type="dataBar" priority="93">
      <dataBar>
        <cfvo type="num" val="0"/>
        <cfvo type="num" val="1"/>
        <color theme="0" tint="-0.249977111117893"/>
      </dataBar>
      <extLst>
        <ext xmlns:x14="http://schemas.microsoft.com/office/spreadsheetml/2009/9/main" uri="{B025F937-C7B1-47D3-B67F-A62EFF666E3E}">
          <x14:id>{C22BF216-B1F7-445B-8EFD-9E234C75FC26}</x14:id>
        </ext>
      </extLst>
    </cfRule>
  </conditionalFormatting>
  <conditionalFormatting sqref="D150">
    <cfRule type="dataBar" priority="92">
      <dataBar>
        <cfvo type="num" val="0"/>
        <cfvo type="num" val="1"/>
        <color theme="0" tint="-0.249977111117893"/>
      </dataBar>
      <extLst>
        <ext xmlns:x14="http://schemas.microsoft.com/office/spreadsheetml/2009/9/main" uri="{B025F937-C7B1-47D3-B67F-A62EFF666E3E}">
          <x14:id>{A3C73A2C-8F63-4150-9C06-9405C3E0D633}</x14:id>
        </ext>
      </extLst>
    </cfRule>
  </conditionalFormatting>
  <conditionalFormatting sqref="D149">
    <cfRule type="dataBar" priority="91">
      <dataBar>
        <cfvo type="num" val="0"/>
        <cfvo type="num" val="1"/>
        <color theme="0" tint="-0.249977111117893"/>
      </dataBar>
      <extLst>
        <ext xmlns:x14="http://schemas.microsoft.com/office/spreadsheetml/2009/9/main" uri="{B025F937-C7B1-47D3-B67F-A62EFF666E3E}">
          <x14:id>{F63552F5-153B-4D70-8C45-E2447D618B6E}</x14:id>
        </ext>
      </extLst>
    </cfRule>
  </conditionalFormatting>
  <conditionalFormatting sqref="D151">
    <cfRule type="dataBar" priority="90">
      <dataBar>
        <cfvo type="num" val="0"/>
        <cfvo type="num" val="1"/>
        <color theme="0" tint="-0.249977111117893"/>
      </dataBar>
      <extLst>
        <ext xmlns:x14="http://schemas.microsoft.com/office/spreadsheetml/2009/9/main" uri="{B025F937-C7B1-47D3-B67F-A62EFF666E3E}">
          <x14:id>{FB2CA98D-61CF-49DD-8E33-0B1174047629}</x14:id>
        </ext>
      </extLst>
    </cfRule>
  </conditionalFormatting>
  <conditionalFormatting sqref="D152">
    <cfRule type="dataBar" priority="89">
      <dataBar>
        <cfvo type="num" val="0"/>
        <cfvo type="num" val="1"/>
        <color theme="0" tint="-0.249977111117893"/>
      </dataBar>
      <extLst>
        <ext xmlns:x14="http://schemas.microsoft.com/office/spreadsheetml/2009/9/main" uri="{B025F937-C7B1-47D3-B67F-A62EFF666E3E}">
          <x14:id>{77CEF662-CC04-42DC-9750-1B2241CCB241}</x14:id>
        </ext>
      </extLst>
    </cfRule>
  </conditionalFormatting>
  <conditionalFormatting sqref="D156">
    <cfRule type="dataBar" priority="88">
      <dataBar>
        <cfvo type="num" val="0"/>
        <cfvo type="num" val="1"/>
        <color theme="0" tint="-0.249977111117893"/>
      </dataBar>
      <extLst>
        <ext xmlns:x14="http://schemas.microsoft.com/office/spreadsheetml/2009/9/main" uri="{B025F937-C7B1-47D3-B67F-A62EFF666E3E}">
          <x14:id>{B6B71966-F671-4649-A34D-3566F4DEE7E9}</x14:id>
        </ext>
      </extLst>
    </cfRule>
  </conditionalFormatting>
  <conditionalFormatting sqref="D155">
    <cfRule type="dataBar" priority="87">
      <dataBar>
        <cfvo type="num" val="0"/>
        <cfvo type="num" val="1"/>
        <color theme="0" tint="-0.249977111117893"/>
      </dataBar>
      <extLst>
        <ext xmlns:x14="http://schemas.microsoft.com/office/spreadsheetml/2009/9/main" uri="{B025F937-C7B1-47D3-B67F-A62EFF666E3E}">
          <x14:id>{6FA114EF-F743-4DDF-8319-5A6ADBC04028}</x14:id>
        </ext>
      </extLst>
    </cfRule>
  </conditionalFormatting>
  <conditionalFormatting sqref="D157">
    <cfRule type="dataBar" priority="86">
      <dataBar>
        <cfvo type="num" val="0"/>
        <cfvo type="num" val="1"/>
        <color theme="0" tint="-0.249977111117893"/>
      </dataBar>
      <extLst>
        <ext xmlns:x14="http://schemas.microsoft.com/office/spreadsheetml/2009/9/main" uri="{B025F937-C7B1-47D3-B67F-A62EFF666E3E}">
          <x14:id>{D7A08F8B-9727-47EC-9192-05D60EEB7A6D}</x14:id>
        </ext>
      </extLst>
    </cfRule>
  </conditionalFormatting>
  <conditionalFormatting sqref="D158">
    <cfRule type="dataBar" priority="85">
      <dataBar>
        <cfvo type="num" val="0"/>
        <cfvo type="num" val="1"/>
        <color theme="0" tint="-0.249977111117893"/>
      </dataBar>
      <extLst>
        <ext xmlns:x14="http://schemas.microsoft.com/office/spreadsheetml/2009/9/main" uri="{B025F937-C7B1-47D3-B67F-A62EFF666E3E}">
          <x14:id>{3F18F9E0-7BB3-40FD-B65B-6195BCECCB1F}</x14:id>
        </ext>
      </extLst>
    </cfRule>
  </conditionalFormatting>
  <conditionalFormatting sqref="D153">
    <cfRule type="dataBar" priority="84">
      <dataBar>
        <cfvo type="num" val="0"/>
        <cfvo type="num" val="1"/>
        <color theme="0" tint="-0.249977111117893"/>
      </dataBar>
      <extLst>
        <ext xmlns:x14="http://schemas.microsoft.com/office/spreadsheetml/2009/9/main" uri="{B025F937-C7B1-47D3-B67F-A62EFF666E3E}">
          <x14:id>{01EE4342-C55D-4A0A-848D-A35AC7DE1B79}</x14:id>
        </ext>
      </extLst>
    </cfRule>
  </conditionalFormatting>
  <conditionalFormatting sqref="D159">
    <cfRule type="dataBar" priority="83">
      <dataBar>
        <cfvo type="num" val="0"/>
        <cfvo type="num" val="1"/>
        <color theme="0" tint="-0.249977111117893"/>
      </dataBar>
      <extLst>
        <ext xmlns:x14="http://schemas.microsoft.com/office/spreadsheetml/2009/9/main" uri="{B025F937-C7B1-47D3-B67F-A62EFF666E3E}">
          <x14:id>{BA11624C-DA0C-4FF5-BB0D-93D490DB053D}</x14:id>
        </ext>
      </extLst>
    </cfRule>
  </conditionalFormatting>
  <conditionalFormatting sqref="D154">
    <cfRule type="dataBar" priority="82">
      <dataBar>
        <cfvo type="num" val="0"/>
        <cfvo type="num" val="1"/>
        <color theme="0" tint="-0.249977111117893"/>
      </dataBar>
      <extLst>
        <ext xmlns:x14="http://schemas.microsoft.com/office/spreadsheetml/2009/9/main" uri="{B025F937-C7B1-47D3-B67F-A62EFF666E3E}">
          <x14:id>{C5E0E114-7228-4E5F-B6C8-29C1BE043DAA}</x14:id>
        </ext>
      </extLst>
    </cfRule>
  </conditionalFormatting>
  <conditionalFormatting sqref="D160">
    <cfRule type="dataBar" priority="81">
      <dataBar>
        <cfvo type="num" val="0"/>
        <cfvo type="num" val="1"/>
        <color theme="0" tint="-0.249977111117893"/>
      </dataBar>
      <extLst>
        <ext xmlns:x14="http://schemas.microsoft.com/office/spreadsheetml/2009/9/main" uri="{B025F937-C7B1-47D3-B67F-A62EFF666E3E}">
          <x14:id>{3E3EA41F-0C19-43BD-8414-21CF841E88B2}</x14:id>
        </ext>
      </extLst>
    </cfRule>
  </conditionalFormatting>
  <conditionalFormatting sqref="D162">
    <cfRule type="dataBar" priority="80">
      <dataBar>
        <cfvo type="num" val="0"/>
        <cfvo type="num" val="1"/>
        <color theme="0" tint="-0.249977111117893"/>
      </dataBar>
      <extLst>
        <ext xmlns:x14="http://schemas.microsoft.com/office/spreadsheetml/2009/9/main" uri="{B025F937-C7B1-47D3-B67F-A62EFF666E3E}">
          <x14:id>{42CC71CE-A3D1-4168-9AF4-15EB00108095}</x14:id>
        </ext>
      </extLst>
    </cfRule>
  </conditionalFormatting>
  <conditionalFormatting sqref="D161">
    <cfRule type="dataBar" priority="79">
      <dataBar>
        <cfvo type="num" val="0"/>
        <cfvo type="num" val="1"/>
        <color theme="0" tint="-0.249977111117893"/>
      </dataBar>
      <extLst>
        <ext xmlns:x14="http://schemas.microsoft.com/office/spreadsheetml/2009/9/main" uri="{B025F937-C7B1-47D3-B67F-A62EFF666E3E}">
          <x14:id>{5BBA960D-B0F2-46B8-BE2F-A9EA455EDBD6}</x14:id>
        </ext>
      </extLst>
    </cfRule>
  </conditionalFormatting>
  <conditionalFormatting sqref="D163">
    <cfRule type="dataBar" priority="78">
      <dataBar>
        <cfvo type="num" val="0"/>
        <cfvo type="num" val="1"/>
        <color theme="0" tint="-0.249977111117893"/>
      </dataBar>
      <extLst>
        <ext xmlns:x14="http://schemas.microsoft.com/office/spreadsheetml/2009/9/main" uri="{B025F937-C7B1-47D3-B67F-A62EFF666E3E}">
          <x14:id>{3972B8CB-3CD6-4DD5-B042-D8644CBD22D7}</x14:id>
        </ext>
      </extLst>
    </cfRule>
  </conditionalFormatting>
  <conditionalFormatting sqref="D164">
    <cfRule type="dataBar" priority="77">
      <dataBar>
        <cfvo type="num" val="0"/>
        <cfvo type="num" val="1"/>
        <color theme="0" tint="-0.249977111117893"/>
      </dataBar>
      <extLst>
        <ext xmlns:x14="http://schemas.microsoft.com/office/spreadsheetml/2009/9/main" uri="{B025F937-C7B1-47D3-B67F-A62EFF666E3E}">
          <x14:id>{8A74B307-E859-492E-98F7-1602E133A620}</x14:id>
        </ext>
      </extLst>
    </cfRule>
  </conditionalFormatting>
  <conditionalFormatting sqref="D165">
    <cfRule type="dataBar" priority="76">
      <dataBar>
        <cfvo type="num" val="0"/>
        <cfvo type="num" val="1"/>
        <color theme="0" tint="-0.249977111117893"/>
      </dataBar>
      <extLst>
        <ext xmlns:x14="http://schemas.microsoft.com/office/spreadsheetml/2009/9/main" uri="{B025F937-C7B1-47D3-B67F-A62EFF666E3E}">
          <x14:id>{C2830731-C2F8-409A-8F8A-35D838AC8FD6}</x14:id>
        </ext>
      </extLst>
    </cfRule>
  </conditionalFormatting>
  <conditionalFormatting sqref="D166">
    <cfRule type="dataBar" priority="75">
      <dataBar>
        <cfvo type="num" val="0"/>
        <cfvo type="num" val="1"/>
        <color theme="0" tint="-0.249977111117893"/>
      </dataBar>
      <extLst>
        <ext xmlns:x14="http://schemas.microsoft.com/office/spreadsheetml/2009/9/main" uri="{B025F937-C7B1-47D3-B67F-A62EFF666E3E}">
          <x14:id>{B75399C5-2860-4461-A7D6-525489DB59AF}</x14:id>
        </ext>
      </extLst>
    </cfRule>
  </conditionalFormatting>
  <conditionalFormatting sqref="D168">
    <cfRule type="dataBar" priority="74">
      <dataBar>
        <cfvo type="num" val="0"/>
        <cfvo type="num" val="1"/>
        <color theme="0" tint="-0.249977111117893"/>
      </dataBar>
      <extLst>
        <ext xmlns:x14="http://schemas.microsoft.com/office/spreadsheetml/2009/9/main" uri="{B025F937-C7B1-47D3-B67F-A62EFF666E3E}">
          <x14:id>{C7D4469A-DBA4-4C52-84E6-64C5162084A1}</x14:id>
        </ext>
      </extLst>
    </cfRule>
  </conditionalFormatting>
  <conditionalFormatting sqref="D167">
    <cfRule type="dataBar" priority="73">
      <dataBar>
        <cfvo type="num" val="0"/>
        <cfvo type="num" val="1"/>
        <color theme="0" tint="-0.249977111117893"/>
      </dataBar>
      <extLst>
        <ext xmlns:x14="http://schemas.microsoft.com/office/spreadsheetml/2009/9/main" uri="{B025F937-C7B1-47D3-B67F-A62EFF666E3E}">
          <x14:id>{985F9EAE-0E86-45D2-8CA6-3FCAA02690F2}</x14:id>
        </ext>
      </extLst>
    </cfRule>
  </conditionalFormatting>
  <conditionalFormatting sqref="D169">
    <cfRule type="dataBar" priority="72">
      <dataBar>
        <cfvo type="num" val="0"/>
        <cfvo type="num" val="1"/>
        <color theme="0" tint="-0.249977111117893"/>
      </dataBar>
      <extLst>
        <ext xmlns:x14="http://schemas.microsoft.com/office/spreadsheetml/2009/9/main" uri="{B025F937-C7B1-47D3-B67F-A62EFF666E3E}">
          <x14:id>{B95E7B64-DF2F-4DC7-98CC-055AC83C9DC0}</x14:id>
        </ext>
      </extLst>
    </cfRule>
  </conditionalFormatting>
  <conditionalFormatting sqref="D170">
    <cfRule type="dataBar" priority="71">
      <dataBar>
        <cfvo type="num" val="0"/>
        <cfvo type="num" val="1"/>
        <color theme="0" tint="-0.249977111117893"/>
      </dataBar>
      <extLst>
        <ext xmlns:x14="http://schemas.microsoft.com/office/spreadsheetml/2009/9/main" uri="{B025F937-C7B1-47D3-B67F-A62EFF666E3E}">
          <x14:id>{A0B068D3-11EE-4B89-B6F5-500C88ADBC61}</x14:id>
        </ext>
      </extLst>
    </cfRule>
  </conditionalFormatting>
  <conditionalFormatting sqref="D171">
    <cfRule type="dataBar" priority="70">
      <dataBar>
        <cfvo type="num" val="0"/>
        <cfvo type="num" val="1"/>
        <color theme="0" tint="-0.249977111117893"/>
      </dataBar>
      <extLst>
        <ext xmlns:x14="http://schemas.microsoft.com/office/spreadsheetml/2009/9/main" uri="{B025F937-C7B1-47D3-B67F-A62EFF666E3E}">
          <x14:id>{F940EF4A-505B-4CC1-87A7-3464C1338062}</x14:id>
        </ext>
      </extLst>
    </cfRule>
  </conditionalFormatting>
  <conditionalFormatting sqref="D172">
    <cfRule type="dataBar" priority="69">
      <dataBar>
        <cfvo type="num" val="0"/>
        <cfvo type="num" val="1"/>
        <color theme="0" tint="-0.249977111117893"/>
      </dataBar>
      <extLst>
        <ext xmlns:x14="http://schemas.microsoft.com/office/spreadsheetml/2009/9/main" uri="{B025F937-C7B1-47D3-B67F-A62EFF666E3E}">
          <x14:id>{93B278CC-6146-4F90-9749-368150FB7B03}</x14:id>
        </ext>
      </extLst>
    </cfRule>
  </conditionalFormatting>
  <conditionalFormatting sqref="D173">
    <cfRule type="dataBar" priority="68">
      <dataBar>
        <cfvo type="num" val="0"/>
        <cfvo type="num" val="1"/>
        <color theme="0" tint="-0.249977111117893"/>
      </dataBar>
      <extLst>
        <ext xmlns:x14="http://schemas.microsoft.com/office/spreadsheetml/2009/9/main" uri="{B025F937-C7B1-47D3-B67F-A62EFF666E3E}">
          <x14:id>{819ACC5C-E1A5-4B63-AE46-2FDDFCED3F81}</x14:id>
        </ext>
      </extLst>
    </cfRule>
  </conditionalFormatting>
  <conditionalFormatting sqref="D175">
    <cfRule type="dataBar" priority="67">
      <dataBar>
        <cfvo type="num" val="0"/>
        <cfvo type="num" val="1"/>
        <color theme="0" tint="-0.249977111117893"/>
      </dataBar>
      <extLst>
        <ext xmlns:x14="http://schemas.microsoft.com/office/spreadsheetml/2009/9/main" uri="{B025F937-C7B1-47D3-B67F-A62EFF666E3E}">
          <x14:id>{D74C6274-D573-4B37-BC18-BC2AB2563C3A}</x14:id>
        </ext>
      </extLst>
    </cfRule>
  </conditionalFormatting>
  <conditionalFormatting sqref="D174">
    <cfRule type="dataBar" priority="66">
      <dataBar>
        <cfvo type="num" val="0"/>
        <cfvo type="num" val="1"/>
        <color theme="0" tint="-0.249977111117893"/>
      </dataBar>
      <extLst>
        <ext xmlns:x14="http://schemas.microsoft.com/office/spreadsheetml/2009/9/main" uri="{B025F937-C7B1-47D3-B67F-A62EFF666E3E}">
          <x14:id>{919D6940-1696-4CB2-A9E2-1B60B54098C4}</x14:id>
        </ext>
      </extLst>
    </cfRule>
  </conditionalFormatting>
  <conditionalFormatting sqref="D176">
    <cfRule type="dataBar" priority="65">
      <dataBar>
        <cfvo type="num" val="0"/>
        <cfvo type="num" val="1"/>
        <color theme="0" tint="-0.249977111117893"/>
      </dataBar>
      <extLst>
        <ext xmlns:x14="http://schemas.microsoft.com/office/spreadsheetml/2009/9/main" uri="{B025F937-C7B1-47D3-B67F-A62EFF666E3E}">
          <x14:id>{F3E38615-D651-4D55-B1DF-896576120301}</x14:id>
        </ext>
      </extLst>
    </cfRule>
  </conditionalFormatting>
  <conditionalFormatting sqref="D178">
    <cfRule type="dataBar" priority="63">
      <dataBar>
        <cfvo type="num" val="0"/>
        <cfvo type="num" val="1"/>
        <color theme="0" tint="-0.249977111117893"/>
      </dataBar>
      <extLst>
        <ext xmlns:x14="http://schemas.microsoft.com/office/spreadsheetml/2009/9/main" uri="{B025F937-C7B1-47D3-B67F-A62EFF666E3E}">
          <x14:id>{E6590DB5-4A53-4B89-BAC6-F3C91BF0035C}</x14:id>
        </ext>
      </extLst>
    </cfRule>
  </conditionalFormatting>
  <conditionalFormatting sqref="D177">
    <cfRule type="dataBar" priority="62">
      <dataBar>
        <cfvo type="num" val="0"/>
        <cfvo type="num" val="1"/>
        <color theme="0" tint="-0.249977111117893"/>
      </dataBar>
      <extLst>
        <ext xmlns:x14="http://schemas.microsoft.com/office/spreadsheetml/2009/9/main" uri="{B025F937-C7B1-47D3-B67F-A62EFF666E3E}">
          <x14:id>{C52E4701-D962-442B-829F-9FC39105DAAE}</x14:id>
        </ext>
      </extLst>
    </cfRule>
  </conditionalFormatting>
  <conditionalFormatting sqref="D180">
    <cfRule type="dataBar" priority="55">
      <dataBar>
        <cfvo type="num" val="0"/>
        <cfvo type="num" val="1"/>
        <color theme="0" tint="-0.249977111117893"/>
      </dataBar>
      <extLst>
        <ext xmlns:x14="http://schemas.microsoft.com/office/spreadsheetml/2009/9/main" uri="{B025F937-C7B1-47D3-B67F-A62EFF666E3E}">
          <x14:id>{39404B7D-54C0-45C5-97A7-E185845FC5ED}</x14:id>
        </ext>
      </extLst>
    </cfRule>
  </conditionalFormatting>
  <conditionalFormatting sqref="D179">
    <cfRule type="dataBar" priority="54">
      <dataBar>
        <cfvo type="num" val="0"/>
        <cfvo type="num" val="1"/>
        <color theme="0" tint="-0.249977111117893"/>
      </dataBar>
      <extLst>
        <ext xmlns:x14="http://schemas.microsoft.com/office/spreadsheetml/2009/9/main" uri="{B025F937-C7B1-47D3-B67F-A62EFF666E3E}">
          <x14:id>{30802C17-67E1-4CEE-A30A-5D77DD654491}</x14:id>
        </ext>
      </extLst>
    </cfRule>
  </conditionalFormatting>
  <conditionalFormatting sqref="D181">
    <cfRule type="dataBar" priority="53">
      <dataBar>
        <cfvo type="num" val="0"/>
        <cfvo type="num" val="1"/>
        <color theme="0" tint="-0.249977111117893"/>
      </dataBar>
      <extLst>
        <ext xmlns:x14="http://schemas.microsoft.com/office/spreadsheetml/2009/9/main" uri="{B025F937-C7B1-47D3-B67F-A62EFF666E3E}">
          <x14:id>{F8917D72-1D7E-4007-957B-7CF8F6A26EEF}</x14:id>
        </ext>
      </extLst>
    </cfRule>
  </conditionalFormatting>
  <conditionalFormatting sqref="D182">
    <cfRule type="dataBar" priority="52">
      <dataBar>
        <cfvo type="num" val="0"/>
        <cfvo type="num" val="1"/>
        <color theme="0" tint="-0.249977111117893"/>
      </dataBar>
      <extLst>
        <ext xmlns:x14="http://schemas.microsoft.com/office/spreadsheetml/2009/9/main" uri="{B025F937-C7B1-47D3-B67F-A62EFF666E3E}">
          <x14:id>{B17479D6-21E3-4922-B118-39D2C8B15334}</x14:id>
        </ext>
      </extLst>
    </cfRule>
  </conditionalFormatting>
  <conditionalFormatting sqref="D184">
    <cfRule type="dataBar" priority="49">
      <dataBar>
        <cfvo type="num" val="0"/>
        <cfvo type="num" val="1"/>
        <color theme="0" tint="-0.249977111117893"/>
      </dataBar>
      <extLst>
        <ext xmlns:x14="http://schemas.microsoft.com/office/spreadsheetml/2009/9/main" uri="{B025F937-C7B1-47D3-B67F-A62EFF666E3E}">
          <x14:id>{46989F0D-F1EC-4D21-A067-9FC0B7AAB660}</x14:id>
        </ext>
      </extLst>
    </cfRule>
  </conditionalFormatting>
  <conditionalFormatting sqref="D183">
    <cfRule type="dataBar" priority="48">
      <dataBar>
        <cfvo type="num" val="0"/>
        <cfvo type="num" val="1"/>
        <color theme="0" tint="-0.249977111117893"/>
      </dataBar>
      <extLst>
        <ext xmlns:x14="http://schemas.microsoft.com/office/spreadsheetml/2009/9/main" uri="{B025F937-C7B1-47D3-B67F-A62EFF666E3E}">
          <x14:id>{2EE046EC-41B5-4208-A6B4-30D2315F42C1}</x14:id>
        </ext>
      </extLst>
    </cfRule>
  </conditionalFormatting>
  <conditionalFormatting sqref="D185">
    <cfRule type="dataBar" priority="47">
      <dataBar>
        <cfvo type="num" val="0"/>
        <cfvo type="num" val="1"/>
        <color theme="0" tint="-0.249977111117893"/>
      </dataBar>
      <extLst>
        <ext xmlns:x14="http://schemas.microsoft.com/office/spreadsheetml/2009/9/main" uri="{B025F937-C7B1-47D3-B67F-A62EFF666E3E}">
          <x14:id>{C4C01F15-D98D-422E-BAA8-6B4BDEADB0C8}</x14:id>
        </ext>
      </extLst>
    </cfRule>
  </conditionalFormatting>
  <conditionalFormatting sqref="D256:D258">
    <cfRule type="dataBar" priority="43">
      <dataBar>
        <cfvo type="num" val="0"/>
        <cfvo type="num" val="1"/>
        <color theme="0" tint="-0.249977111117893"/>
      </dataBar>
      <extLst>
        <ext xmlns:x14="http://schemas.microsoft.com/office/spreadsheetml/2009/9/main" uri="{B025F937-C7B1-47D3-B67F-A62EFF666E3E}">
          <x14:id>{30B2B900-D7DC-49A0-B633-44740662E41E}</x14:id>
        </ext>
      </extLst>
    </cfRule>
  </conditionalFormatting>
  <conditionalFormatting sqref="D259:D260">
    <cfRule type="dataBar" priority="42">
      <dataBar>
        <cfvo type="num" val="0"/>
        <cfvo type="num" val="1"/>
        <color theme="0" tint="-0.249977111117893"/>
      </dataBar>
      <extLst>
        <ext xmlns:x14="http://schemas.microsoft.com/office/spreadsheetml/2009/9/main" uri="{B025F937-C7B1-47D3-B67F-A62EFF666E3E}">
          <x14:id>{01413176-C9AC-497A-B84F-0ED4AB9968BC}</x14:id>
        </ext>
      </extLst>
    </cfRule>
  </conditionalFormatting>
  <conditionalFormatting sqref="D262:D264">
    <cfRule type="dataBar" priority="41">
      <dataBar>
        <cfvo type="num" val="0"/>
        <cfvo type="num" val="1"/>
        <color theme="0" tint="-0.249977111117893"/>
      </dataBar>
      <extLst>
        <ext xmlns:x14="http://schemas.microsoft.com/office/spreadsheetml/2009/9/main" uri="{B025F937-C7B1-47D3-B67F-A62EFF666E3E}">
          <x14:id>{E948AA0A-F67D-4A6D-845C-0AB0CD1FA39A}</x14:id>
        </ext>
      </extLst>
    </cfRule>
  </conditionalFormatting>
  <conditionalFormatting sqref="D265:D266">
    <cfRule type="dataBar" priority="40">
      <dataBar>
        <cfvo type="num" val="0"/>
        <cfvo type="num" val="1"/>
        <color theme="0" tint="-0.249977111117893"/>
      </dataBar>
      <extLst>
        <ext xmlns:x14="http://schemas.microsoft.com/office/spreadsheetml/2009/9/main" uri="{B025F937-C7B1-47D3-B67F-A62EFF666E3E}">
          <x14:id>{40E555EF-DD95-4527-A2F3-EBAC0FF71082}</x14:id>
        </ext>
      </extLst>
    </cfRule>
  </conditionalFormatting>
  <conditionalFormatting sqref="D267:D268">
    <cfRule type="dataBar" priority="39">
      <dataBar>
        <cfvo type="num" val="0"/>
        <cfvo type="num" val="1"/>
        <color theme="0" tint="-0.249977111117893"/>
      </dataBar>
      <extLst>
        <ext xmlns:x14="http://schemas.microsoft.com/office/spreadsheetml/2009/9/main" uri="{B025F937-C7B1-47D3-B67F-A62EFF666E3E}">
          <x14:id>{F9A65A19-F115-4B81-926B-6AF3187CD55A}</x14:id>
        </ext>
      </extLst>
    </cfRule>
  </conditionalFormatting>
  <conditionalFormatting sqref="D270:D271">
    <cfRule type="dataBar" priority="38">
      <dataBar>
        <cfvo type="num" val="0"/>
        <cfvo type="num" val="1"/>
        <color theme="0" tint="-0.249977111117893"/>
      </dataBar>
      <extLst>
        <ext xmlns:x14="http://schemas.microsoft.com/office/spreadsheetml/2009/9/main" uri="{B025F937-C7B1-47D3-B67F-A62EFF666E3E}">
          <x14:id>{01B3D0FD-750C-49C3-A7CB-7218C2C0F003}</x14:id>
        </ext>
      </extLst>
    </cfRule>
  </conditionalFormatting>
  <conditionalFormatting sqref="D269">
    <cfRule type="dataBar" priority="37">
      <dataBar>
        <cfvo type="num" val="0"/>
        <cfvo type="num" val="1"/>
        <color theme="0" tint="-0.249977111117893"/>
      </dataBar>
      <extLst>
        <ext xmlns:x14="http://schemas.microsoft.com/office/spreadsheetml/2009/9/main" uri="{B025F937-C7B1-47D3-B67F-A62EFF666E3E}">
          <x14:id>{D5E217B6-7CC5-4B55-B17B-5D4EA9980F61}</x14:id>
        </ext>
      </extLst>
    </cfRule>
  </conditionalFormatting>
  <conditionalFormatting sqref="D272:D273">
    <cfRule type="dataBar" priority="36">
      <dataBar>
        <cfvo type="num" val="0"/>
        <cfvo type="num" val="1"/>
        <color theme="0" tint="-0.249977111117893"/>
      </dataBar>
      <extLst>
        <ext xmlns:x14="http://schemas.microsoft.com/office/spreadsheetml/2009/9/main" uri="{B025F937-C7B1-47D3-B67F-A62EFF666E3E}">
          <x14:id>{FA390DFF-D1C8-4D8D-AEFF-38E5763FFC2F}</x14:id>
        </ext>
      </extLst>
    </cfRule>
  </conditionalFormatting>
  <conditionalFormatting sqref="ED5:ED276">
    <cfRule type="expression" dxfId="2" priority="318">
      <formula>AND(TODAY()&gt;=ED$5,TODAY()&lt;#REF!)</formula>
    </cfRule>
  </conditionalFormatting>
  <conditionalFormatting sqref="ED7:ED276">
    <cfRule type="expression" dxfId="1" priority="321">
      <formula>AND(タスク_開始&lt;=ED$5,ROUNDDOWN((タスク_終了-タスク_開始+1)*タスク_進捗状況,0)+タスク_開始-1&gt;=ED$5)</formula>
    </cfRule>
    <cfRule type="expression" dxfId="0" priority="322" stopIfTrue="1">
      <formula>AND(タスク_終了&gt;=ED$5,タスク_開始&lt;#REF!)</formula>
    </cfRule>
  </conditionalFormatting>
  <conditionalFormatting sqref="D228">
    <cfRule type="dataBar" priority="35">
      <dataBar>
        <cfvo type="num" val="0"/>
        <cfvo type="num" val="1"/>
        <color theme="0" tint="-0.249977111117893"/>
      </dataBar>
      <extLst>
        <ext xmlns:x14="http://schemas.microsoft.com/office/spreadsheetml/2009/9/main" uri="{B025F937-C7B1-47D3-B67F-A62EFF666E3E}">
          <x14:id>{50604248-C234-476D-87B8-27E22CFB8DEF}</x14:id>
        </ext>
      </extLst>
    </cfRule>
  </conditionalFormatting>
  <conditionalFormatting sqref="D227">
    <cfRule type="dataBar" priority="34">
      <dataBar>
        <cfvo type="num" val="0"/>
        <cfvo type="num" val="1"/>
        <color theme="0" tint="-0.249977111117893"/>
      </dataBar>
      <extLst>
        <ext xmlns:x14="http://schemas.microsoft.com/office/spreadsheetml/2009/9/main" uri="{B025F937-C7B1-47D3-B67F-A62EFF666E3E}">
          <x14:id>{3F3C0EA1-4273-4AAB-93EF-C3FD7F53BC77}</x14:id>
        </ext>
      </extLst>
    </cfRule>
  </conditionalFormatting>
  <conditionalFormatting sqref="D229">
    <cfRule type="dataBar" priority="33">
      <dataBar>
        <cfvo type="num" val="0"/>
        <cfvo type="num" val="1"/>
        <color theme="0" tint="-0.249977111117893"/>
      </dataBar>
      <extLst>
        <ext xmlns:x14="http://schemas.microsoft.com/office/spreadsheetml/2009/9/main" uri="{B025F937-C7B1-47D3-B67F-A62EFF666E3E}">
          <x14:id>{00D73E22-E9BF-454E-AA5D-B5135D4BFAAB}</x14:id>
        </ext>
      </extLst>
    </cfRule>
  </conditionalFormatting>
  <conditionalFormatting sqref="D45">
    <cfRule type="dataBar" priority="32">
      <dataBar>
        <cfvo type="num" val="0"/>
        <cfvo type="num" val="1"/>
        <color theme="0" tint="-0.249977111117893"/>
      </dataBar>
      <extLst>
        <ext xmlns:x14="http://schemas.microsoft.com/office/spreadsheetml/2009/9/main" uri="{B025F937-C7B1-47D3-B67F-A62EFF666E3E}">
          <x14:id>{2AB6FC1A-CB9A-4515-821A-23826BF7F9A5}</x14:id>
        </ext>
      </extLst>
    </cfRule>
  </conditionalFormatting>
  <conditionalFormatting sqref="D53">
    <cfRule type="dataBar" priority="31">
      <dataBar>
        <cfvo type="num" val="0"/>
        <cfvo type="num" val="1"/>
        <color theme="0" tint="-0.249977111117893"/>
      </dataBar>
      <extLst>
        <ext xmlns:x14="http://schemas.microsoft.com/office/spreadsheetml/2009/9/main" uri="{B025F937-C7B1-47D3-B67F-A62EFF666E3E}">
          <x14:id>{7ACF6717-608B-4A28-ABDC-C12A6C036D18}</x14:id>
        </ext>
      </extLst>
    </cfRule>
  </conditionalFormatting>
  <conditionalFormatting sqref="D52">
    <cfRule type="dataBar" priority="30">
      <dataBar>
        <cfvo type="num" val="0"/>
        <cfvo type="num" val="1"/>
        <color theme="0" tint="-0.249977111117893"/>
      </dataBar>
      <extLst>
        <ext xmlns:x14="http://schemas.microsoft.com/office/spreadsheetml/2009/9/main" uri="{B025F937-C7B1-47D3-B67F-A62EFF666E3E}">
          <x14:id>{93315C59-C926-4167-9F1D-58B44B4BD57A}</x14:id>
        </ext>
      </extLst>
    </cfRule>
  </conditionalFormatting>
  <conditionalFormatting sqref="D22">
    <cfRule type="dataBar" priority="29">
      <dataBar>
        <cfvo type="num" val="0"/>
        <cfvo type="num" val="1"/>
        <color theme="0" tint="-0.249977111117893"/>
      </dataBar>
      <extLst>
        <ext xmlns:x14="http://schemas.microsoft.com/office/spreadsheetml/2009/9/main" uri="{B025F937-C7B1-47D3-B67F-A62EFF666E3E}">
          <x14:id>{35A2F634-260E-4A0B-9431-7B8600F4D62A}</x14:id>
        </ext>
      </extLst>
    </cfRule>
  </conditionalFormatting>
  <conditionalFormatting sqref="D72">
    <cfRule type="dataBar" priority="28">
      <dataBar>
        <cfvo type="num" val="0"/>
        <cfvo type="num" val="1"/>
        <color theme="0" tint="-0.249977111117893"/>
      </dataBar>
      <extLst>
        <ext xmlns:x14="http://schemas.microsoft.com/office/spreadsheetml/2009/9/main" uri="{B025F937-C7B1-47D3-B67F-A62EFF666E3E}">
          <x14:id>{F7EFA2C5-C4B9-40DB-8C86-144EAA00E7E3}</x14:id>
        </ext>
      </extLst>
    </cfRule>
  </conditionalFormatting>
  <conditionalFormatting sqref="D73">
    <cfRule type="dataBar" priority="27">
      <dataBar>
        <cfvo type="num" val="0"/>
        <cfvo type="num" val="1"/>
        <color theme="0" tint="-0.249977111117893"/>
      </dataBar>
      <extLst>
        <ext xmlns:x14="http://schemas.microsoft.com/office/spreadsheetml/2009/9/main" uri="{B025F937-C7B1-47D3-B67F-A62EFF666E3E}">
          <x14:id>{8C3CF505-E917-4514-B48F-1397E3EAA48F}</x14:id>
        </ext>
      </extLst>
    </cfRule>
  </conditionalFormatting>
  <conditionalFormatting sqref="D74">
    <cfRule type="dataBar" priority="26">
      <dataBar>
        <cfvo type="num" val="0"/>
        <cfvo type="num" val="1"/>
        <color theme="0" tint="-0.249977111117893"/>
      </dataBar>
      <extLst>
        <ext xmlns:x14="http://schemas.microsoft.com/office/spreadsheetml/2009/9/main" uri="{B025F937-C7B1-47D3-B67F-A62EFF666E3E}">
          <x14:id>{7D8CDC48-6F58-46DC-9E85-A36EC8E4C137}</x14:id>
        </ext>
      </extLst>
    </cfRule>
  </conditionalFormatting>
  <conditionalFormatting sqref="D96">
    <cfRule type="dataBar" priority="25">
      <dataBar>
        <cfvo type="num" val="0"/>
        <cfvo type="num" val="1"/>
        <color theme="0" tint="-0.249977111117893"/>
      </dataBar>
      <extLst>
        <ext xmlns:x14="http://schemas.microsoft.com/office/spreadsheetml/2009/9/main" uri="{B025F937-C7B1-47D3-B67F-A62EFF666E3E}">
          <x14:id>{DCD74059-A27F-45A9-827E-C5DF6D242912}</x14:id>
        </ext>
      </extLst>
    </cfRule>
  </conditionalFormatting>
  <conditionalFormatting sqref="D117">
    <cfRule type="dataBar" priority="24">
      <dataBar>
        <cfvo type="num" val="0"/>
        <cfvo type="num" val="1"/>
        <color theme="0" tint="-0.249977111117893"/>
      </dataBar>
      <extLst>
        <ext xmlns:x14="http://schemas.microsoft.com/office/spreadsheetml/2009/9/main" uri="{B025F937-C7B1-47D3-B67F-A62EFF666E3E}">
          <x14:id>{D8757667-92EA-44E2-AAE3-FC74A4866DF2}</x14:id>
        </ext>
      </extLst>
    </cfRule>
  </conditionalFormatting>
  <conditionalFormatting sqref="D119">
    <cfRule type="dataBar" priority="23">
      <dataBar>
        <cfvo type="num" val="0"/>
        <cfvo type="num" val="1"/>
        <color theme="0" tint="-0.249977111117893"/>
      </dataBar>
      <extLst>
        <ext xmlns:x14="http://schemas.microsoft.com/office/spreadsheetml/2009/9/main" uri="{B025F937-C7B1-47D3-B67F-A62EFF666E3E}">
          <x14:id>{06081CCF-F392-4F98-B0AA-52DA2DD4028D}</x14:id>
        </ext>
      </extLst>
    </cfRule>
  </conditionalFormatting>
  <conditionalFormatting sqref="D118">
    <cfRule type="dataBar" priority="22">
      <dataBar>
        <cfvo type="num" val="0"/>
        <cfvo type="num" val="1"/>
        <color theme="0" tint="-0.249977111117893"/>
      </dataBar>
      <extLst>
        <ext xmlns:x14="http://schemas.microsoft.com/office/spreadsheetml/2009/9/main" uri="{B025F937-C7B1-47D3-B67F-A62EFF666E3E}">
          <x14:id>{FBAB3BEF-32E9-4F9C-AA30-9E32ED657261}</x14:id>
        </ext>
      </extLst>
    </cfRule>
  </conditionalFormatting>
  <conditionalFormatting sqref="D120">
    <cfRule type="dataBar" priority="21">
      <dataBar>
        <cfvo type="num" val="0"/>
        <cfvo type="num" val="1"/>
        <color theme="0" tint="-0.249977111117893"/>
      </dataBar>
      <extLst>
        <ext xmlns:x14="http://schemas.microsoft.com/office/spreadsheetml/2009/9/main" uri="{B025F937-C7B1-47D3-B67F-A62EFF666E3E}">
          <x14:id>{826DF911-D38E-4A8B-8587-1735E40424AA}</x14:id>
        </ext>
      </extLst>
    </cfRule>
  </conditionalFormatting>
  <conditionalFormatting sqref="D121">
    <cfRule type="dataBar" priority="20">
      <dataBar>
        <cfvo type="num" val="0"/>
        <cfvo type="num" val="1"/>
        <color theme="0" tint="-0.249977111117893"/>
      </dataBar>
      <extLst>
        <ext xmlns:x14="http://schemas.microsoft.com/office/spreadsheetml/2009/9/main" uri="{B025F937-C7B1-47D3-B67F-A62EFF666E3E}">
          <x14:id>{0DC48876-507E-432C-910B-3E5AA171BFE6}</x14:id>
        </ext>
      </extLst>
    </cfRule>
  </conditionalFormatting>
  <conditionalFormatting sqref="D123">
    <cfRule type="dataBar" priority="19">
      <dataBar>
        <cfvo type="num" val="0"/>
        <cfvo type="num" val="1"/>
        <color theme="0" tint="-0.249977111117893"/>
      </dataBar>
      <extLst>
        <ext xmlns:x14="http://schemas.microsoft.com/office/spreadsheetml/2009/9/main" uri="{B025F937-C7B1-47D3-B67F-A62EFF666E3E}">
          <x14:id>{1F12AC12-4784-41CA-9A9F-A7536A545CD0}</x14:id>
        </ext>
      </extLst>
    </cfRule>
  </conditionalFormatting>
  <conditionalFormatting sqref="D122">
    <cfRule type="dataBar" priority="18">
      <dataBar>
        <cfvo type="num" val="0"/>
        <cfvo type="num" val="1"/>
        <color theme="0" tint="-0.249977111117893"/>
      </dataBar>
      <extLst>
        <ext xmlns:x14="http://schemas.microsoft.com/office/spreadsheetml/2009/9/main" uri="{B025F937-C7B1-47D3-B67F-A62EFF666E3E}">
          <x14:id>{E61D7B35-A0F5-4D52-9D4B-845BB2CF156F}</x14:id>
        </ext>
      </extLst>
    </cfRule>
  </conditionalFormatting>
  <conditionalFormatting sqref="D125">
    <cfRule type="dataBar" priority="17">
      <dataBar>
        <cfvo type="num" val="0"/>
        <cfvo type="num" val="1"/>
        <color theme="0" tint="-0.249977111117893"/>
      </dataBar>
      <extLst>
        <ext xmlns:x14="http://schemas.microsoft.com/office/spreadsheetml/2009/9/main" uri="{B025F937-C7B1-47D3-B67F-A62EFF666E3E}">
          <x14:id>{597834FB-23E1-4B49-8EF6-D893E8286E2C}</x14:id>
        </ext>
      </extLst>
    </cfRule>
  </conditionalFormatting>
  <conditionalFormatting sqref="D124">
    <cfRule type="dataBar" priority="16">
      <dataBar>
        <cfvo type="num" val="0"/>
        <cfvo type="num" val="1"/>
        <color theme="0" tint="-0.249977111117893"/>
      </dataBar>
      <extLst>
        <ext xmlns:x14="http://schemas.microsoft.com/office/spreadsheetml/2009/9/main" uri="{B025F937-C7B1-47D3-B67F-A62EFF666E3E}">
          <x14:id>{32245E97-2B55-4B27-8DA5-C00DDDA8897F}</x14:id>
        </ext>
      </extLst>
    </cfRule>
  </conditionalFormatting>
  <conditionalFormatting sqref="D129">
    <cfRule type="dataBar" priority="15">
      <dataBar>
        <cfvo type="num" val="0"/>
        <cfvo type="num" val="1"/>
        <color theme="0" tint="-0.249977111117893"/>
      </dataBar>
      <extLst>
        <ext xmlns:x14="http://schemas.microsoft.com/office/spreadsheetml/2009/9/main" uri="{B025F937-C7B1-47D3-B67F-A62EFF666E3E}">
          <x14:id>{380234B2-6291-4985-BBAD-538F99BC847B}</x14:id>
        </ext>
      </extLst>
    </cfRule>
  </conditionalFormatting>
  <conditionalFormatting sqref="D130">
    <cfRule type="dataBar" priority="14">
      <dataBar>
        <cfvo type="num" val="0"/>
        <cfvo type="num" val="1"/>
        <color theme="0" tint="-0.249977111117893"/>
      </dataBar>
      <extLst>
        <ext xmlns:x14="http://schemas.microsoft.com/office/spreadsheetml/2009/9/main" uri="{B025F937-C7B1-47D3-B67F-A62EFF666E3E}">
          <x14:id>{DC3D7D5A-3D5F-4271-B7CA-D7A2E1586010}</x14:id>
        </ext>
      </extLst>
    </cfRule>
  </conditionalFormatting>
  <conditionalFormatting sqref="D131">
    <cfRule type="dataBar" priority="13">
      <dataBar>
        <cfvo type="num" val="0"/>
        <cfvo type="num" val="1"/>
        <color theme="0" tint="-0.249977111117893"/>
      </dataBar>
      <extLst>
        <ext xmlns:x14="http://schemas.microsoft.com/office/spreadsheetml/2009/9/main" uri="{B025F937-C7B1-47D3-B67F-A62EFF666E3E}">
          <x14:id>{DE3FD6C2-240B-4B9C-AEE0-BA4400BC3A0D}</x14:id>
        </ext>
      </extLst>
    </cfRule>
  </conditionalFormatting>
  <conditionalFormatting sqref="D132">
    <cfRule type="dataBar" priority="12">
      <dataBar>
        <cfvo type="num" val="0"/>
        <cfvo type="num" val="1"/>
        <color theme="0" tint="-0.249977111117893"/>
      </dataBar>
      <extLst>
        <ext xmlns:x14="http://schemas.microsoft.com/office/spreadsheetml/2009/9/main" uri="{B025F937-C7B1-47D3-B67F-A62EFF666E3E}">
          <x14:id>{5453652F-7EF2-4E36-AABD-C23E8FC91451}</x14:id>
        </ext>
      </extLst>
    </cfRule>
  </conditionalFormatting>
  <conditionalFormatting sqref="D133">
    <cfRule type="dataBar" priority="11">
      <dataBar>
        <cfvo type="num" val="0"/>
        <cfvo type="num" val="1"/>
        <color theme="0" tint="-0.249977111117893"/>
      </dataBar>
      <extLst>
        <ext xmlns:x14="http://schemas.microsoft.com/office/spreadsheetml/2009/9/main" uri="{B025F937-C7B1-47D3-B67F-A62EFF666E3E}">
          <x14:id>{8885534A-498E-4CC1-A9E1-EEE1F71F1BE1}</x14:id>
        </ext>
      </extLst>
    </cfRule>
  </conditionalFormatting>
  <conditionalFormatting sqref="D134">
    <cfRule type="dataBar" priority="10">
      <dataBar>
        <cfvo type="num" val="0"/>
        <cfvo type="num" val="1"/>
        <color theme="0" tint="-0.249977111117893"/>
      </dataBar>
      <extLst>
        <ext xmlns:x14="http://schemas.microsoft.com/office/spreadsheetml/2009/9/main" uri="{B025F937-C7B1-47D3-B67F-A62EFF666E3E}">
          <x14:id>{0CAB910E-C89D-4A75-9221-EC2A46D717CE}</x14:id>
        </ext>
      </extLst>
    </cfRule>
  </conditionalFormatting>
  <conditionalFormatting sqref="D135">
    <cfRule type="dataBar" priority="9">
      <dataBar>
        <cfvo type="num" val="0"/>
        <cfvo type="num" val="1"/>
        <color theme="0" tint="-0.249977111117893"/>
      </dataBar>
      <extLst>
        <ext xmlns:x14="http://schemas.microsoft.com/office/spreadsheetml/2009/9/main" uri="{B025F937-C7B1-47D3-B67F-A62EFF666E3E}">
          <x14:id>{4D1CF7B9-19D3-4E86-BF0F-81604837619D}</x14:id>
        </ext>
      </extLst>
    </cfRule>
  </conditionalFormatting>
  <conditionalFormatting sqref="D126">
    <cfRule type="dataBar" priority="8">
      <dataBar>
        <cfvo type="num" val="0"/>
        <cfvo type="num" val="1"/>
        <color theme="0" tint="-0.249977111117893"/>
      </dataBar>
      <extLst>
        <ext xmlns:x14="http://schemas.microsoft.com/office/spreadsheetml/2009/9/main" uri="{B025F937-C7B1-47D3-B67F-A62EFF666E3E}">
          <x14:id>{CCFC35C4-AA61-48EF-BDC7-D3B444284385}</x14:id>
        </ext>
      </extLst>
    </cfRule>
  </conditionalFormatting>
  <conditionalFormatting sqref="D127">
    <cfRule type="dataBar" priority="7">
      <dataBar>
        <cfvo type="num" val="0"/>
        <cfvo type="num" val="1"/>
        <color theme="0" tint="-0.249977111117893"/>
      </dataBar>
      <extLst>
        <ext xmlns:x14="http://schemas.microsoft.com/office/spreadsheetml/2009/9/main" uri="{B025F937-C7B1-47D3-B67F-A62EFF666E3E}">
          <x14:id>{1639ED5F-C9EC-4572-8ECC-9DBA2F5EAE05}</x14:id>
        </ext>
      </extLst>
    </cfRule>
  </conditionalFormatting>
  <conditionalFormatting sqref="D128">
    <cfRule type="dataBar" priority="6">
      <dataBar>
        <cfvo type="num" val="0"/>
        <cfvo type="num" val="1"/>
        <color theme="0" tint="-0.249977111117893"/>
      </dataBar>
      <extLst>
        <ext xmlns:x14="http://schemas.microsoft.com/office/spreadsheetml/2009/9/main" uri="{B025F937-C7B1-47D3-B67F-A62EFF666E3E}">
          <x14:id>{79339534-E46A-40E2-915D-38FD7E3DD7C9}</x14:id>
        </ext>
      </extLst>
    </cfRule>
  </conditionalFormatting>
  <conditionalFormatting sqref="D136">
    <cfRule type="dataBar" priority="5">
      <dataBar>
        <cfvo type="num" val="0"/>
        <cfvo type="num" val="1"/>
        <color theme="0" tint="-0.249977111117893"/>
      </dataBar>
      <extLst>
        <ext xmlns:x14="http://schemas.microsoft.com/office/spreadsheetml/2009/9/main" uri="{B025F937-C7B1-47D3-B67F-A62EFF666E3E}">
          <x14:id>{AFBA83EF-F43B-49E3-8081-9B5AE330932A}</x14:id>
        </ext>
      </extLst>
    </cfRule>
  </conditionalFormatting>
  <conditionalFormatting sqref="D137">
    <cfRule type="dataBar" priority="4">
      <dataBar>
        <cfvo type="num" val="0"/>
        <cfvo type="num" val="1"/>
        <color theme="0" tint="-0.249977111117893"/>
      </dataBar>
      <extLst>
        <ext xmlns:x14="http://schemas.microsoft.com/office/spreadsheetml/2009/9/main" uri="{B025F937-C7B1-47D3-B67F-A62EFF666E3E}">
          <x14:id>{87BC5F7B-7F8B-407C-B482-2D33028E5718}</x14:id>
        </ext>
      </extLst>
    </cfRule>
  </conditionalFormatting>
  <conditionalFormatting sqref="D138">
    <cfRule type="dataBar" priority="3">
      <dataBar>
        <cfvo type="num" val="0"/>
        <cfvo type="num" val="1"/>
        <color theme="0" tint="-0.249977111117893"/>
      </dataBar>
      <extLst>
        <ext xmlns:x14="http://schemas.microsoft.com/office/spreadsheetml/2009/9/main" uri="{B025F937-C7B1-47D3-B67F-A62EFF666E3E}">
          <x14:id>{BA27F715-2732-4965-930D-411D215E8C1E}</x14:id>
        </ext>
      </extLst>
    </cfRule>
  </conditionalFormatting>
  <conditionalFormatting sqref="D274:D275">
    <cfRule type="dataBar" priority="2">
      <dataBar>
        <cfvo type="num" val="0"/>
        <cfvo type="num" val="1"/>
        <color theme="0" tint="-0.249977111117893"/>
      </dataBar>
      <extLst>
        <ext xmlns:x14="http://schemas.microsoft.com/office/spreadsheetml/2009/9/main" uri="{B025F937-C7B1-47D3-B67F-A62EFF666E3E}">
          <x14:id>{1C498544-6D9A-4F83-A560-18C49B82E543}</x14:id>
        </ext>
      </extLst>
    </cfRule>
  </conditionalFormatting>
  <conditionalFormatting sqref="D276">
    <cfRule type="dataBar" priority="1">
      <dataBar>
        <cfvo type="num" val="0"/>
        <cfvo type="num" val="1"/>
        <color theme="0" tint="-0.249977111117893"/>
      </dataBar>
      <extLst>
        <ext xmlns:x14="http://schemas.microsoft.com/office/spreadsheetml/2009/9/main" uri="{B025F937-C7B1-47D3-B67F-A62EFF666E3E}">
          <x14:id>{267BAF59-EF07-46F4-B7EB-20733CA1CB6A}</x14:id>
        </ext>
      </extLst>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28" fitToHeight="0" orientation="landscape" r:id="rId3"/>
  <headerFooter differentFirst="1" scaleWithDoc="0">
    <oddFooter>Page &amp;P of &amp;N</oddFooter>
  </headerFooter>
  <colBreaks count="1" manualBreakCount="1">
    <brk id="1" max="1048575" man="1"/>
  </colBreaks>
  <drawing r:id="rId4"/>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D7:D13 D38 D40 D42 D251:D255 D261 D44</xm:sqref>
        </x14:conditionalFormatting>
        <x14:conditionalFormatting xmlns:xm="http://schemas.microsoft.com/office/excel/2006/main">
          <x14:cfRule type="dataBar" id="{87C5E010-8310-4FB4-A168-D10427671A89}">
            <x14:dataBar minLength="0" maxLength="100" gradient="0">
              <x14:cfvo type="num">
                <xm:f>0</xm:f>
              </x14:cfvo>
              <x14:cfvo type="num">
                <xm:f>1</xm:f>
              </x14:cfvo>
              <x14:negativeFillColor rgb="FFFF0000"/>
              <x14:axisColor rgb="FF000000"/>
            </x14:dataBar>
          </x14:cfRule>
          <xm:sqref>D14:D16</xm:sqref>
        </x14:conditionalFormatting>
        <x14:conditionalFormatting xmlns:xm="http://schemas.microsoft.com/office/excel/2006/main">
          <x14:cfRule type="dataBar" id="{7C1C6A69-4235-4A53-9380-601594FBCD7D}">
            <x14:dataBar minLength="0" maxLength="100" gradient="0">
              <x14:cfvo type="num">
                <xm:f>0</xm:f>
              </x14:cfvo>
              <x14:cfvo type="num">
                <xm:f>1</xm:f>
              </x14:cfvo>
              <x14:negativeFillColor rgb="FFFF0000"/>
              <x14:axisColor rgb="FF000000"/>
            </x14:dataBar>
          </x14:cfRule>
          <xm:sqref>D17:D18</xm:sqref>
        </x14:conditionalFormatting>
        <x14:conditionalFormatting xmlns:xm="http://schemas.microsoft.com/office/excel/2006/main">
          <x14:cfRule type="dataBar" id="{AC3CB475-19DC-4CB9-B67C-84DB32F13110}">
            <x14:dataBar minLength="0" maxLength="100" gradient="0">
              <x14:cfvo type="num">
                <xm:f>0</xm:f>
              </x14:cfvo>
              <x14:cfvo type="num">
                <xm:f>1</xm:f>
              </x14:cfvo>
              <x14:negativeFillColor rgb="FFFF0000"/>
              <x14:axisColor rgb="FF000000"/>
            </x14:dataBar>
          </x14:cfRule>
          <xm:sqref>D19:D21</xm:sqref>
        </x14:conditionalFormatting>
        <x14:conditionalFormatting xmlns:xm="http://schemas.microsoft.com/office/excel/2006/main">
          <x14:cfRule type="dataBar" id="{AC5D8716-4C8B-4EB9-B803-8E09D811BF85}">
            <x14:dataBar minLength="0" maxLength="100" gradient="0">
              <x14:cfvo type="num">
                <xm:f>0</xm:f>
              </x14:cfvo>
              <x14:cfvo type="num">
                <xm:f>1</xm:f>
              </x14:cfvo>
              <x14:negativeFillColor rgb="FFFF0000"/>
              <x14:axisColor rgb="FF000000"/>
            </x14:dataBar>
          </x14:cfRule>
          <xm:sqref>D23</xm:sqref>
        </x14:conditionalFormatting>
        <x14:conditionalFormatting xmlns:xm="http://schemas.microsoft.com/office/excel/2006/main">
          <x14:cfRule type="dataBar" id="{D01424E3-2596-442E-A54B-6AAD650EFEDC}">
            <x14:dataBar minLength="0" maxLength="100" gradient="0">
              <x14:cfvo type="num">
                <xm:f>0</xm:f>
              </x14:cfvo>
              <x14:cfvo type="num">
                <xm:f>1</xm:f>
              </x14:cfvo>
              <x14:negativeFillColor rgb="FFFF0000"/>
              <x14:axisColor rgb="FF000000"/>
            </x14:dataBar>
          </x14:cfRule>
          <xm:sqref>D24</xm:sqref>
        </x14:conditionalFormatting>
        <x14:conditionalFormatting xmlns:xm="http://schemas.microsoft.com/office/excel/2006/main">
          <x14:cfRule type="dataBar" id="{5EF1BC09-E9B4-4006-A0A3-04C16DAD5AAB}">
            <x14:dataBar minLength="0" maxLength="100" gradient="0">
              <x14:cfvo type="num">
                <xm:f>0</xm:f>
              </x14:cfvo>
              <x14:cfvo type="num">
                <xm:f>1</xm:f>
              </x14:cfvo>
              <x14:negativeFillColor rgb="FFFF0000"/>
              <x14:axisColor rgb="FF000000"/>
            </x14:dataBar>
          </x14:cfRule>
          <xm:sqref>D25:D26</xm:sqref>
        </x14:conditionalFormatting>
        <x14:conditionalFormatting xmlns:xm="http://schemas.microsoft.com/office/excel/2006/main">
          <x14:cfRule type="dataBar" id="{EEB6099B-610F-420B-8586-6B7161D653E4}">
            <x14:dataBar minLength="0" maxLength="100" gradient="0">
              <x14:cfvo type="num">
                <xm:f>0</xm:f>
              </x14:cfvo>
              <x14:cfvo type="num">
                <xm:f>1</xm:f>
              </x14:cfvo>
              <x14:negativeFillColor rgb="FFFF0000"/>
              <x14:axisColor rgb="FF000000"/>
            </x14:dataBar>
          </x14:cfRule>
          <xm:sqref>D29:D30</xm:sqref>
        </x14:conditionalFormatting>
        <x14:conditionalFormatting xmlns:xm="http://schemas.microsoft.com/office/excel/2006/main">
          <x14:cfRule type="dataBar" id="{5AC94562-9DBE-49E5-BE32-6C8F2E79BD05}">
            <x14:dataBar minLength="0" maxLength="100" gradient="0">
              <x14:cfvo type="num">
                <xm:f>0</xm:f>
              </x14:cfvo>
              <x14:cfvo type="num">
                <xm:f>1</xm:f>
              </x14:cfvo>
              <x14:negativeFillColor rgb="FFFF0000"/>
              <x14:axisColor rgb="FF000000"/>
            </x14:dataBar>
          </x14:cfRule>
          <xm:sqref>D31</xm:sqref>
        </x14:conditionalFormatting>
        <x14:conditionalFormatting xmlns:xm="http://schemas.microsoft.com/office/excel/2006/main">
          <x14:cfRule type="dataBar" id="{49849B3A-31B6-4A20-8EEE-F5E1C676AE61}">
            <x14:dataBar minLength="0" maxLength="100" gradient="0">
              <x14:cfvo type="num">
                <xm:f>0</xm:f>
              </x14:cfvo>
              <x14:cfvo type="num">
                <xm:f>1</xm:f>
              </x14:cfvo>
              <x14:negativeFillColor rgb="FFFF0000"/>
              <x14:axisColor rgb="FF000000"/>
            </x14:dataBar>
          </x14:cfRule>
          <xm:sqref>D32:D33</xm:sqref>
        </x14:conditionalFormatting>
        <x14:conditionalFormatting xmlns:xm="http://schemas.microsoft.com/office/excel/2006/main">
          <x14:cfRule type="dataBar" id="{6B6D3CEC-9B28-4019-AE08-2D810E8AD0F2}">
            <x14:dataBar minLength="0" maxLength="100" gradient="0">
              <x14:cfvo type="num">
                <xm:f>0</xm:f>
              </x14:cfvo>
              <x14:cfvo type="num">
                <xm:f>1</xm:f>
              </x14:cfvo>
              <x14:negativeFillColor rgb="FFFF0000"/>
              <x14:axisColor rgb="FF000000"/>
            </x14:dataBar>
          </x14:cfRule>
          <xm:sqref>D27</xm:sqref>
        </x14:conditionalFormatting>
        <x14:conditionalFormatting xmlns:xm="http://schemas.microsoft.com/office/excel/2006/main">
          <x14:cfRule type="dataBar" id="{7B1E953D-C70F-4293-A5A3-91226F040185}">
            <x14:dataBar minLength="0" maxLength="100" gradient="0">
              <x14:cfvo type="num">
                <xm:f>0</xm:f>
              </x14:cfvo>
              <x14:cfvo type="num">
                <xm:f>1</xm:f>
              </x14:cfvo>
              <x14:negativeFillColor rgb="FFFF0000"/>
              <x14:axisColor rgb="FF000000"/>
            </x14:dataBar>
          </x14:cfRule>
          <xm:sqref>D36</xm:sqref>
        </x14:conditionalFormatting>
        <x14:conditionalFormatting xmlns:xm="http://schemas.microsoft.com/office/excel/2006/main">
          <x14:cfRule type="dataBar" id="{A5F32CBE-C80F-421E-A11C-A14533654FB2}">
            <x14:dataBar minLength="0" maxLength="100" gradient="0">
              <x14:cfvo type="num">
                <xm:f>0</xm:f>
              </x14:cfvo>
              <x14:cfvo type="num">
                <xm:f>1</xm:f>
              </x14:cfvo>
              <x14:negativeFillColor rgb="FFFF0000"/>
              <x14:axisColor rgb="FF000000"/>
            </x14:dataBar>
          </x14:cfRule>
          <xm:sqref>D34</xm:sqref>
        </x14:conditionalFormatting>
        <x14:conditionalFormatting xmlns:xm="http://schemas.microsoft.com/office/excel/2006/main">
          <x14:cfRule type="dataBar" id="{FF0BE140-068C-4513-B4C0-E809F73146BD}">
            <x14:dataBar minLength="0" maxLength="100" gradient="0">
              <x14:cfvo type="num">
                <xm:f>0</xm:f>
              </x14:cfvo>
              <x14:cfvo type="num">
                <xm:f>1</xm:f>
              </x14:cfvo>
              <x14:negativeFillColor rgb="FFFF0000"/>
              <x14:axisColor rgb="FF000000"/>
            </x14:dataBar>
          </x14:cfRule>
          <xm:sqref>D28</xm:sqref>
        </x14:conditionalFormatting>
        <x14:conditionalFormatting xmlns:xm="http://schemas.microsoft.com/office/excel/2006/main">
          <x14:cfRule type="dataBar" id="{44FF6AD8-703A-4172-9DC6-B47EBF8CA558}">
            <x14:dataBar minLength="0" maxLength="100" gradient="0">
              <x14:cfvo type="num">
                <xm:f>0</xm:f>
              </x14:cfvo>
              <x14:cfvo type="num">
                <xm:f>1</xm:f>
              </x14:cfvo>
              <x14:negativeFillColor rgb="FFFF0000"/>
              <x14:axisColor rgb="FF000000"/>
            </x14:dataBar>
          </x14:cfRule>
          <xm:sqref>D37</xm:sqref>
        </x14:conditionalFormatting>
        <x14:conditionalFormatting xmlns:xm="http://schemas.microsoft.com/office/excel/2006/main">
          <x14:cfRule type="dataBar" id="{A0FFBE70-A130-44F4-A8BE-0E5489333805}">
            <x14:dataBar minLength="0" maxLength="100" gradient="0">
              <x14:cfvo type="num">
                <xm:f>0</xm:f>
              </x14:cfvo>
              <x14:cfvo type="num">
                <xm:f>1</xm:f>
              </x14:cfvo>
              <x14:negativeFillColor rgb="FFFF0000"/>
              <x14:axisColor rgb="FF000000"/>
            </x14:dataBar>
          </x14:cfRule>
          <xm:sqref>D39</xm:sqref>
        </x14:conditionalFormatting>
        <x14:conditionalFormatting xmlns:xm="http://schemas.microsoft.com/office/excel/2006/main">
          <x14:cfRule type="dataBar" id="{84359B2E-287F-41ED-917A-36BF5708E686}">
            <x14:dataBar minLength="0" maxLength="100" gradient="0">
              <x14:cfvo type="num">
                <xm:f>0</xm:f>
              </x14:cfvo>
              <x14:cfvo type="num">
                <xm:f>1</xm:f>
              </x14:cfvo>
              <x14:negativeFillColor rgb="FFFF0000"/>
              <x14:axisColor rgb="FF000000"/>
            </x14:dataBar>
          </x14:cfRule>
          <xm:sqref>D35</xm:sqref>
        </x14:conditionalFormatting>
        <x14:conditionalFormatting xmlns:xm="http://schemas.microsoft.com/office/excel/2006/main">
          <x14:cfRule type="dataBar" id="{B1B7E5E5-F7D1-469E-887C-2A955EC20C3A}">
            <x14:dataBar minLength="0" maxLength="100" gradient="0">
              <x14:cfvo type="num">
                <xm:f>0</xm:f>
              </x14:cfvo>
              <x14:cfvo type="num">
                <xm:f>1</xm:f>
              </x14:cfvo>
              <x14:negativeFillColor rgb="FFFF0000"/>
              <x14:axisColor rgb="FF000000"/>
            </x14:dataBar>
          </x14:cfRule>
          <xm:sqref>D41</xm:sqref>
        </x14:conditionalFormatting>
        <x14:conditionalFormatting xmlns:xm="http://schemas.microsoft.com/office/excel/2006/main">
          <x14:cfRule type="dataBar" id="{ED373300-1F8E-4B0B-815F-F291A0D2AF82}">
            <x14:dataBar minLength="0" maxLength="100" gradient="0">
              <x14:cfvo type="num">
                <xm:f>0</xm:f>
              </x14:cfvo>
              <x14:cfvo type="num">
                <xm:f>1</xm:f>
              </x14:cfvo>
              <x14:negativeFillColor rgb="FFFF0000"/>
              <x14:axisColor rgb="FF000000"/>
            </x14:dataBar>
          </x14:cfRule>
          <xm:sqref>D43</xm:sqref>
        </x14:conditionalFormatting>
        <x14:conditionalFormatting xmlns:xm="http://schemas.microsoft.com/office/excel/2006/main">
          <x14:cfRule type="dataBar" id="{FE9168E4-05E5-4635-B880-871517FF5196}">
            <x14:dataBar minLength="0" maxLength="100" gradient="0">
              <x14:cfvo type="num">
                <xm:f>0</xm:f>
              </x14:cfvo>
              <x14:cfvo type="num">
                <xm:f>1</xm:f>
              </x14:cfvo>
              <x14:negativeFillColor rgb="FFFF0000"/>
              <x14:axisColor rgb="FF000000"/>
            </x14:dataBar>
          </x14:cfRule>
          <xm:sqref>D46</xm:sqref>
        </x14:conditionalFormatting>
        <x14:conditionalFormatting xmlns:xm="http://schemas.microsoft.com/office/excel/2006/main">
          <x14:cfRule type="dataBar" id="{FC9E45F9-1B62-466D-B9D7-DF5BC6B8124B}">
            <x14:dataBar minLength="0" maxLength="100" gradient="0">
              <x14:cfvo type="num">
                <xm:f>0</xm:f>
              </x14:cfvo>
              <x14:cfvo type="num">
                <xm:f>1</xm:f>
              </x14:cfvo>
              <x14:negativeFillColor rgb="FFFF0000"/>
              <x14:axisColor rgb="FF000000"/>
            </x14:dataBar>
          </x14:cfRule>
          <xm:sqref>D47</xm:sqref>
        </x14:conditionalFormatting>
        <x14:conditionalFormatting xmlns:xm="http://schemas.microsoft.com/office/excel/2006/main">
          <x14:cfRule type="dataBar" id="{6D77E73C-6A87-4AB6-8CE2-074C9892D309}">
            <x14:dataBar minLength="0" maxLength="100" gradient="0">
              <x14:cfvo type="num">
                <xm:f>0</xm:f>
              </x14:cfvo>
              <x14:cfvo type="num">
                <xm:f>1</xm:f>
              </x14:cfvo>
              <x14:negativeFillColor rgb="FFFF0000"/>
              <x14:axisColor rgb="FF000000"/>
            </x14:dataBar>
          </x14:cfRule>
          <xm:sqref>D48</xm:sqref>
        </x14:conditionalFormatting>
        <x14:conditionalFormatting xmlns:xm="http://schemas.microsoft.com/office/excel/2006/main">
          <x14:cfRule type="dataBar" id="{023629D1-A3AC-4956-AB9A-EFFEFA649F2A}">
            <x14:dataBar minLength="0" maxLength="100" gradient="0">
              <x14:cfvo type="num">
                <xm:f>0</xm:f>
              </x14:cfvo>
              <x14:cfvo type="num">
                <xm:f>1</xm:f>
              </x14:cfvo>
              <x14:negativeFillColor rgb="FFFF0000"/>
              <x14:axisColor rgb="FF000000"/>
            </x14:dataBar>
          </x14:cfRule>
          <xm:sqref>D50</xm:sqref>
        </x14:conditionalFormatting>
        <x14:conditionalFormatting xmlns:xm="http://schemas.microsoft.com/office/excel/2006/main">
          <x14:cfRule type="dataBar" id="{5206462F-C478-4451-95D7-96C095673A18}">
            <x14:dataBar minLength="0" maxLength="100" gradient="0">
              <x14:cfvo type="num">
                <xm:f>0</xm:f>
              </x14:cfvo>
              <x14:cfvo type="num">
                <xm:f>1</xm:f>
              </x14:cfvo>
              <x14:negativeFillColor rgb="FFFF0000"/>
              <x14:axisColor rgb="FF000000"/>
            </x14:dataBar>
          </x14:cfRule>
          <xm:sqref>D49</xm:sqref>
        </x14:conditionalFormatting>
        <x14:conditionalFormatting xmlns:xm="http://schemas.microsoft.com/office/excel/2006/main">
          <x14:cfRule type="dataBar" id="{7E36976B-32A0-4E82-AE73-1534E1A2E7CB}">
            <x14:dataBar minLength="0" maxLength="100" gradient="0">
              <x14:cfvo type="num">
                <xm:f>0</xm:f>
              </x14:cfvo>
              <x14:cfvo type="num">
                <xm:f>1</xm:f>
              </x14:cfvo>
              <x14:negativeFillColor rgb="FFFF0000"/>
              <x14:axisColor rgb="FF000000"/>
            </x14:dataBar>
          </x14:cfRule>
          <xm:sqref>D51</xm:sqref>
        </x14:conditionalFormatting>
        <x14:conditionalFormatting xmlns:xm="http://schemas.microsoft.com/office/excel/2006/main">
          <x14:cfRule type="dataBar" id="{ED8513F2-7E38-493A-A127-019F391E72B5}">
            <x14:dataBar minLength="0" maxLength="100" gradient="0">
              <x14:cfvo type="num">
                <xm:f>0</xm:f>
              </x14:cfvo>
              <x14:cfvo type="num">
                <xm:f>1</xm:f>
              </x14:cfvo>
              <x14:negativeFillColor rgb="FFFF0000"/>
              <x14:axisColor rgb="FF000000"/>
            </x14:dataBar>
          </x14:cfRule>
          <xm:sqref>D54</xm:sqref>
        </x14:conditionalFormatting>
        <x14:conditionalFormatting xmlns:xm="http://schemas.microsoft.com/office/excel/2006/main">
          <x14:cfRule type="dataBar" id="{77C9E417-3877-47BA-9AC4-A102E0A51B7D}">
            <x14:dataBar minLength="0" maxLength="100" gradient="0">
              <x14:cfvo type="num">
                <xm:f>0</xm:f>
              </x14:cfvo>
              <x14:cfvo type="num">
                <xm:f>1</xm:f>
              </x14:cfvo>
              <x14:negativeFillColor rgb="FFFF0000"/>
              <x14:axisColor rgb="FF000000"/>
            </x14:dataBar>
          </x14:cfRule>
          <xm:sqref>D56</xm:sqref>
        </x14:conditionalFormatting>
        <x14:conditionalFormatting xmlns:xm="http://schemas.microsoft.com/office/excel/2006/main">
          <x14:cfRule type="dataBar" id="{A1029EBD-9EAE-4E1E-A9FF-7CBF6451BA00}">
            <x14:dataBar minLength="0" maxLength="100" gradient="0">
              <x14:cfvo type="num">
                <xm:f>0</xm:f>
              </x14:cfvo>
              <x14:cfvo type="num">
                <xm:f>1</xm:f>
              </x14:cfvo>
              <x14:negativeFillColor rgb="FFFF0000"/>
              <x14:axisColor rgb="FF000000"/>
            </x14:dataBar>
          </x14:cfRule>
          <xm:sqref>D55</xm:sqref>
        </x14:conditionalFormatting>
        <x14:conditionalFormatting xmlns:xm="http://schemas.microsoft.com/office/excel/2006/main">
          <x14:cfRule type="dataBar" id="{1032AF44-15E0-42DD-8467-D859BA98F9DA}">
            <x14:dataBar minLength="0" maxLength="100" gradient="0">
              <x14:cfvo type="num">
                <xm:f>0</xm:f>
              </x14:cfvo>
              <x14:cfvo type="num">
                <xm:f>1</xm:f>
              </x14:cfvo>
              <x14:negativeFillColor rgb="FFFF0000"/>
              <x14:axisColor rgb="FF000000"/>
            </x14:dataBar>
          </x14:cfRule>
          <xm:sqref>D57</xm:sqref>
        </x14:conditionalFormatting>
        <x14:conditionalFormatting xmlns:xm="http://schemas.microsoft.com/office/excel/2006/main">
          <x14:cfRule type="dataBar" id="{7DE5DC2A-C454-47F0-9928-16C0D999E105}">
            <x14:dataBar minLength="0" maxLength="100" gradient="0">
              <x14:cfvo type="num">
                <xm:f>0</xm:f>
              </x14:cfvo>
              <x14:cfvo type="num">
                <xm:f>1</xm:f>
              </x14:cfvo>
              <x14:negativeFillColor rgb="FFFF0000"/>
              <x14:axisColor rgb="FF000000"/>
            </x14:dataBar>
          </x14:cfRule>
          <xm:sqref>D59</xm:sqref>
        </x14:conditionalFormatting>
        <x14:conditionalFormatting xmlns:xm="http://schemas.microsoft.com/office/excel/2006/main">
          <x14:cfRule type="dataBar" id="{B917B205-C506-44AF-9841-C39EB23032ED}">
            <x14:dataBar minLength="0" maxLength="100" gradient="0">
              <x14:cfvo type="num">
                <xm:f>0</xm:f>
              </x14:cfvo>
              <x14:cfvo type="num">
                <xm:f>1</xm:f>
              </x14:cfvo>
              <x14:negativeFillColor rgb="FFFF0000"/>
              <x14:axisColor rgb="FF000000"/>
            </x14:dataBar>
          </x14:cfRule>
          <xm:sqref>D58</xm:sqref>
        </x14:conditionalFormatting>
        <x14:conditionalFormatting xmlns:xm="http://schemas.microsoft.com/office/excel/2006/main">
          <x14:cfRule type="dataBar" id="{35F0DD7A-73D1-494C-9E14-32AFAE9CD789}">
            <x14:dataBar minLength="0" maxLength="100" gradient="0">
              <x14:cfvo type="num">
                <xm:f>0</xm:f>
              </x14:cfvo>
              <x14:cfvo type="num">
                <xm:f>1</xm:f>
              </x14:cfvo>
              <x14:negativeFillColor rgb="FFFF0000"/>
              <x14:axisColor rgb="FF000000"/>
            </x14:dataBar>
          </x14:cfRule>
          <xm:sqref>D60</xm:sqref>
        </x14:conditionalFormatting>
        <x14:conditionalFormatting xmlns:xm="http://schemas.microsoft.com/office/excel/2006/main">
          <x14:cfRule type="dataBar" id="{F299CC38-D414-4D44-9BBA-0246B6FD84A0}">
            <x14:dataBar minLength="0" maxLength="100" gradient="0">
              <x14:cfvo type="num">
                <xm:f>0</xm:f>
              </x14:cfvo>
              <x14:cfvo type="num">
                <xm:f>1</xm:f>
              </x14:cfvo>
              <x14:negativeFillColor rgb="FFFF0000"/>
              <x14:axisColor rgb="FF000000"/>
            </x14:dataBar>
          </x14:cfRule>
          <xm:sqref>D62</xm:sqref>
        </x14:conditionalFormatting>
        <x14:conditionalFormatting xmlns:xm="http://schemas.microsoft.com/office/excel/2006/main">
          <x14:cfRule type="dataBar" id="{3FD9960A-6897-4A6B-A17D-3D9A2D38BAFB}">
            <x14:dataBar minLength="0" maxLength="100" gradient="0">
              <x14:cfvo type="num">
                <xm:f>0</xm:f>
              </x14:cfvo>
              <x14:cfvo type="num">
                <xm:f>1</xm:f>
              </x14:cfvo>
              <x14:negativeFillColor rgb="FFFF0000"/>
              <x14:axisColor rgb="FF000000"/>
            </x14:dataBar>
          </x14:cfRule>
          <xm:sqref>D61</xm:sqref>
        </x14:conditionalFormatting>
        <x14:conditionalFormatting xmlns:xm="http://schemas.microsoft.com/office/excel/2006/main">
          <x14:cfRule type="dataBar" id="{0092103B-89C7-4B47-AADB-9EA9CA19AC4B}">
            <x14:dataBar minLength="0" maxLength="100" gradient="0">
              <x14:cfvo type="num">
                <xm:f>0</xm:f>
              </x14:cfvo>
              <x14:cfvo type="num">
                <xm:f>1</xm:f>
              </x14:cfvo>
              <x14:negativeFillColor rgb="FFFF0000"/>
              <x14:axisColor rgb="FF000000"/>
            </x14:dataBar>
          </x14:cfRule>
          <xm:sqref>D63</xm:sqref>
        </x14:conditionalFormatting>
        <x14:conditionalFormatting xmlns:xm="http://schemas.microsoft.com/office/excel/2006/main">
          <x14:cfRule type="dataBar" id="{A3D4A31B-5333-4A5E-A2A2-2FA5AB3979B7}">
            <x14:dataBar minLength="0" maxLength="100" gradient="0">
              <x14:cfvo type="num">
                <xm:f>0</xm:f>
              </x14:cfvo>
              <x14:cfvo type="num">
                <xm:f>1</xm:f>
              </x14:cfvo>
              <x14:negativeFillColor rgb="FFFF0000"/>
              <x14:axisColor rgb="FF000000"/>
            </x14:dataBar>
          </x14:cfRule>
          <xm:sqref>D65</xm:sqref>
        </x14:conditionalFormatting>
        <x14:conditionalFormatting xmlns:xm="http://schemas.microsoft.com/office/excel/2006/main">
          <x14:cfRule type="dataBar" id="{B4C93C3F-A431-4383-9B50-5CE63492506A}">
            <x14:dataBar minLength="0" maxLength="100" gradient="0">
              <x14:cfvo type="num">
                <xm:f>0</xm:f>
              </x14:cfvo>
              <x14:cfvo type="num">
                <xm:f>1</xm:f>
              </x14:cfvo>
              <x14:negativeFillColor rgb="FFFF0000"/>
              <x14:axisColor rgb="FF000000"/>
            </x14:dataBar>
          </x14:cfRule>
          <xm:sqref>D64</xm:sqref>
        </x14:conditionalFormatting>
        <x14:conditionalFormatting xmlns:xm="http://schemas.microsoft.com/office/excel/2006/main">
          <x14:cfRule type="dataBar" id="{DBC7FDA9-7B94-4C6C-AED9-20EAFC0E61E9}">
            <x14:dataBar minLength="0" maxLength="100" gradient="0">
              <x14:cfvo type="num">
                <xm:f>0</xm:f>
              </x14:cfvo>
              <x14:cfvo type="num">
                <xm:f>1</xm:f>
              </x14:cfvo>
              <x14:negativeFillColor rgb="FFFF0000"/>
              <x14:axisColor rgb="FF000000"/>
            </x14:dataBar>
          </x14:cfRule>
          <xm:sqref>D66</xm:sqref>
        </x14:conditionalFormatting>
        <x14:conditionalFormatting xmlns:xm="http://schemas.microsoft.com/office/excel/2006/main">
          <x14:cfRule type="dataBar" id="{385A73FD-4117-4813-A8AE-1E1B054786D3}">
            <x14:dataBar minLength="0" maxLength="100" gradient="0">
              <x14:cfvo type="num">
                <xm:f>0</xm:f>
              </x14:cfvo>
              <x14:cfvo type="num">
                <xm:f>1</xm:f>
              </x14:cfvo>
              <x14:negativeFillColor rgb="FFFF0000"/>
              <x14:axisColor rgb="FF000000"/>
            </x14:dataBar>
          </x14:cfRule>
          <xm:sqref>D67</xm:sqref>
        </x14:conditionalFormatting>
        <x14:conditionalFormatting xmlns:xm="http://schemas.microsoft.com/office/excel/2006/main">
          <x14:cfRule type="dataBar" id="{08164B16-6158-4BA4-BB00-35E8B9DBDCC1}">
            <x14:dataBar minLength="0" maxLength="100" gradient="0">
              <x14:cfvo type="num">
                <xm:f>0</xm:f>
              </x14:cfvo>
              <x14:cfvo type="num">
                <xm:f>1</xm:f>
              </x14:cfvo>
              <x14:negativeFillColor rgb="FFFF0000"/>
              <x14:axisColor rgb="FF000000"/>
            </x14:dataBar>
          </x14:cfRule>
          <xm:sqref>D69</xm:sqref>
        </x14:conditionalFormatting>
        <x14:conditionalFormatting xmlns:xm="http://schemas.microsoft.com/office/excel/2006/main">
          <x14:cfRule type="dataBar" id="{6AD598C3-1BDC-43B5-9C21-7E2CC3DE4446}">
            <x14:dataBar minLength="0" maxLength="100" gradient="0">
              <x14:cfvo type="num">
                <xm:f>0</xm:f>
              </x14:cfvo>
              <x14:cfvo type="num">
                <xm:f>1</xm:f>
              </x14:cfvo>
              <x14:negativeFillColor rgb="FFFF0000"/>
              <x14:axisColor rgb="FF000000"/>
            </x14:dataBar>
          </x14:cfRule>
          <xm:sqref>D68</xm:sqref>
        </x14:conditionalFormatting>
        <x14:conditionalFormatting xmlns:xm="http://schemas.microsoft.com/office/excel/2006/main">
          <x14:cfRule type="dataBar" id="{B0448750-ADC1-465F-91FD-1A6892E9ECBB}">
            <x14:dataBar minLength="0" maxLength="100" gradient="0">
              <x14:cfvo type="num">
                <xm:f>0</xm:f>
              </x14:cfvo>
              <x14:cfvo type="num">
                <xm:f>1</xm:f>
              </x14:cfvo>
              <x14:negativeFillColor rgb="FFFF0000"/>
              <x14:axisColor rgb="FF000000"/>
            </x14:dataBar>
          </x14:cfRule>
          <xm:sqref>D71</xm:sqref>
        </x14:conditionalFormatting>
        <x14:conditionalFormatting xmlns:xm="http://schemas.microsoft.com/office/excel/2006/main">
          <x14:cfRule type="dataBar" id="{A006D97D-ACF3-47F0-A78E-8BD047EDE515}">
            <x14:dataBar minLength="0" maxLength="100" gradient="0">
              <x14:cfvo type="num">
                <xm:f>0</xm:f>
              </x14:cfvo>
              <x14:cfvo type="num">
                <xm:f>1</xm:f>
              </x14:cfvo>
              <x14:negativeFillColor rgb="FFFF0000"/>
              <x14:axisColor rgb="FF000000"/>
            </x14:dataBar>
          </x14:cfRule>
          <xm:sqref>D70</xm:sqref>
        </x14:conditionalFormatting>
        <x14:conditionalFormatting xmlns:xm="http://schemas.microsoft.com/office/excel/2006/main">
          <x14:cfRule type="dataBar" id="{902FB659-01C0-42CC-A483-3E7F28FD1446}">
            <x14:dataBar minLength="0" maxLength="100" gradient="0">
              <x14:cfvo type="num">
                <xm:f>0</xm:f>
              </x14:cfvo>
              <x14:cfvo type="num">
                <xm:f>1</xm:f>
              </x14:cfvo>
              <x14:negativeFillColor rgb="FFFF0000"/>
              <x14:axisColor rgb="FF000000"/>
            </x14:dataBar>
          </x14:cfRule>
          <xm:sqref>D75</xm:sqref>
        </x14:conditionalFormatting>
        <x14:conditionalFormatting xmlns:xm="http://schemas.microsoft.com/office/excel/2006/main">
          <x14:cfRule type="dataBar" id="{2EF00BD4-6D42-4991-B94D-FD87217E6162}">
            <x14:dataBar minLength="0" maxLength="100" gradient="0">
              <x14:cfvo type="num">
                <xm:f>0</xm:f>
              </x14:cfvo>
              <x14:cfvo type="num">
                <xm:f>1</xm:f>
              </x14:cfvo>
              <x14:negativeFillColor rgb="FFFF0000"/>
              <x14:axisColor rgb="FF000000"/>
            </x14:dataBar>
          </x14:cfRule>
          <xm:sqref>D77</xm:sqref>
        </x14:conditionalFormatting>
        <x14:conditionalFormatting xmlns:xm="http://schemas.microsoft.com/office/excel/2006/main">
          <x14:cfRule type="dataBar" id="{F0459694-2A1C-4C0A-AFCF-8FF61A0033E8}">
            <x14:dataBar minLength="0" maxLength="100" gradient="0">
              <x14:cfvo type="num">
                <xm:f>0</xm:f>
              </x14:cfvo>
              <x14:cfvo type="num">
                <xm:f>1</xm:f>
              </x14:cfvo>
              <x14:negativeFillColor rgb="FFFF0000"/>
              <x14:axisColor rgb="FF000000"/>
            </x14:dataBar>
          </x14:cfRule>
          <xm:sqref>D76</xm:sqref>
        </x14:conditionalFormatting>
        <x14:conditionalFormatting xmlns:xm="http://schemas.microsoft.com/office/excel/2006/main">
          <x14:cfRule type="dataBar" id="{6496EB11-4725-477D-9EF7-E50F81D82FA4}">
            <x14:dataBar minLength="0" maxLength="100" gradient="0">
              <x14:cfvo type="num">
                <xm:f>0</xm:f>
              </x14:cfvo>
              <x14:cfvo type="num">
                <xm:f>1</xm:f>
              </x14:cfvo>
              <x14:negativeFillColor rgb="FFFF0000"/>
              <x14:axisColor rgb="FF000000"/>
            </x14:dataBar>
          </x14:cfRule>
          <xm:sqref>D78</xm:sqref>
        </x14:conditionalFormatting>
        <x14:conditionalFormatting xmlns:xm="http://schemas.microsoft.com/office/excel/2006/main">
          <x14:cfRule type="dataBar" id="{EE067378-C3C2-41BA-A050-FCC677FA4079}">
            <x14:dataBar minLength="0" maxLength="100" gradient="0">
              <x14:cfvo type="num">
                <xm:f>0</xm:f>
              </x14:cfvo>
              <x14:cfvo type="num">
                <xm:f>1</xm:f>
              </x14:cfvo>
              <x14:negativeFillColor rgb="FFFF0000"/>
              <x14:axisColor rgb="FF000000"/>
            </x14:dataBar>
          </x14:cfRule>
          <xm:sqref>D79</xm:sqref>
        </x14:conditionalFormatting>
        <x14:conditionalFormatting xmlns:xm="http://schemas.microsoft.com/office/excel/2006/main">
          <x14:cfRule type="dataBar" id="{89709BDF-D366-43FA-A68A-762ED513E461}">
            <x14:dataBar minLength="0" maxLength="100" gradient="0">
              <x14:cfvo type="num">
                <xm:f>0</xm:f>
              </x14:cfvo>
              <x14:cfvo type="num">
                <xm:f>1</xm:f>
              </x14:cfvo>
              <x14:negativeFillColor rgb="FFFF0000"/>
              <x14:axisColor rgb="FF000000"/>
            </x14:dataBar>
          </x14:cfRule>
          <xm:sqref>D81</xm:sqref>
        </x14:conditionalFormatting>
        <x14:conditionalFormatting xmlns:xm="http://schemas.microsoft.com/office/excel/2006/main">
          <x14:cfRule type="dataBar" id="{59C3CCF8-0FF5-467B-A81C-7246B461BF44}">
            <x14:dataBar minLength="0" maxLength="100" gradient="0">
              <x14:cfvo type="num">
                <xm:f>0</xm:f>
              </x14:cfvo>
              <x14:cfvo type="num">
                <xm:f>1</xm:f>
              </x14:cfvo>
              <x14:negativeFillColor rgb="FFFF0000"/>
              <x14:axisColor rgb="FF000000"/>
            </x14:dataBar>
          </x14:cfRule>
          <xm:sqref>D80</xm:sqref>
        </x14:conditionalFormatting>
        <x14:conditionalFormatting xmlns:xm="http://schemas.microsoft.com/office/excel/2006/main">
          <x14:cfRule type="dataBar" id="{B252FE96-8167-46D2-9D26-5D966005DA42}">
            <x14:dataBar minLength="0" maxLength="100" gradient="0">
              <x14:cfvo type="num">
                <xm:f>0</xm:f>
              </x14:cfvo>
              <x14:cfvo type="num">
                <xm:f>1</xm:f>
              </x14:cfvo>
              <x14:negativeFillColor rgb="FFFF0000"/>
              <x14:axisColor rgb="FF000000"/>
            </x14:dataBar>
          </x14:cfRule>
          <xm:sqref>D83</xm:sqref>
        </x14:conditionalFormatting>
        <x14:conditionalFormatting xmlns:xm="http://schemas.microsoft.com/office/excel/2006/main">
          <x14:cfRule type="dataBar" id="{53373FE8-4EB7-4416-ABFA-C9E585D6B14A}">
            <x14:dataBar minLength="0" maxLength="100" gradient="0">
              <x14:cfvo type="num">
                <xm:f>0</xm:f>
              </x14:cfvo>
              <x14:cfvo type="num">
                <xm:f>1</xm:f>
              </x14:cfvo>
              <x14:negativeFillColor rgb="FFFF0000"/>
              <x14:axisColor rgb="FF000000"/>
            </x14:dataBar>
          </x14:cfRule>
          <xm:sqref>D82</xm:sqref>
        </x14:conditionalFormatting>
        <x14:conditionalFormatting xmlns:xm="http://schemas.microsoft.com/office/excel/2006/main">
          <x14:cfRule type="dataBar" id="{093AF43F-A3F9-4359-AD57-50CD46F7CDDE}">
            <x14:dataBar minLength="0" maxLength="100" gradient="0">
              <x14:cfvo type="num">
                <xm:f>0</xm:f>
              </x14:cfvo>
              <x14:cfvo type="num">
                <xm:f>1</xm:f>
              </x14:cfvo>
              <x14:negativeFillColor rgb="FFFF0000"/>
              <x14:axisColor rgb="FF000000"/>
            </x14:dataBar>
          </x14:cfRule>
          <xm:sqref>D84</xm:sqref>
        </x14:conditionalFormatting>
        <x14:conditionalFormatting xmlns:xm="http://schemas.microsoft.com/office/excel/2006/main">
          <x14:cfRule type="dataBar" id="{E6E79529-4E13-4310-A8A1-5E59A4544D6F}">
            <x14:dataBar minLength="0" maxLength="100" gradient="0">
              <x14:cfvo type="num">
                <xm:f>0</xm:f>
              </x14:cfvo>
              <x14:cfvo type="num">
                <xm:f>1</xm:f>
              </x14:cfvo>
              <x14:negativeFillColor rgb="FFFF0000"/>
              <x14:axisColor rgb="FF000000"/>
            </x14:dataBar>
          </x14:cfRule>
          <xm:sqref>D85</xm:sqref>
        </x14:conditionalFormatting>
        <x14:conditionalFormatting xmlns:xm="http://schemas.microsoft.com/office/excel/2006/main">
          <x14:cfRule type="dataBar" id="{6AECCE72-6DCA-4E56-A613-7AD71A8A86A0}">
            <x14:dataBar minLength="0" maxLength="100" gradient="0">
              <x14:cfvo type="num">
                <xm:f>0</xm:f>
              </x14:cfvo>
              <x14:cfvo type="num">
                <xm:f>1</xm:f>
              </x14:cfvo>
              <x14:negativeFillColor rgb="FFFF0000"/>
              <x14:axisColor rgb="FF000000"/>
            </x14:dataBar>
          </x14:cfRule>
          <xm:sqref>D86</xm:sqref>
        </x14:conditionalFormatting>
        <x14:conditionalFormatting xmlns:xm="http://schemas.microsoft.com/office/excel/2006/main">
          <x14:cfRule type="dataBar" id="{165B3956-E302-46DB-96E3-E318F408832C}">
            <x14:dataBar minLength="0" maxLength="100" gradient="0">
              <x14:cfvo type="num">
                <xm:f>0</xm:f>
              </x14:cfvo>
              <x14:cfvo type="num">
                <xm:f>1</xm:f>
              </x14:cfvo>
              <x14:negativeFillColor rgb="FFFF0000"/>
              <x14:axisColor rgb="FF000000"/>
            </x14:dataBar>
          </x14:cfRule>
          <xm:sqref>D88</xm:sqref>
        </x14:conditionalFormatting>
        <x14:conditionalFormatting xmlns:xm="http://schemas.microsoft.com/office/excel/2006/main">
          <x14:cfRule type="dataBar" id="{5C0CC4A6-63C3-4A06-90FA-F3CFC0993459}">
            <x14:dataBar minLength="0" maxLength="100" gradient="0">
              <x14:cfvo type="num">
                <xm:f>0</xm:f>
              </x14:cfvo>
              <x14:cfvo type="num">
                <xm:f>1</xm:f>
              </x14:cfvo>
              <x14:negativeFillColor rgb="FFFF0000"/>
              <x14:axisColor rgb="FF000000"/>
            </x14:dataBar>
          </x14:cfRule>
          <xm:sqref>D87</xm:sqref>
        </x14:conditionalFormatting>
        <x14:conditionalFormatting xmlns:xm="http://schemas.microsoft.com/office/excel/2006/main">
          <x14:cfRule type="dataBar" id="{7A58CA9E-61C3-457A-ABD3-D1DA12E8859A}">
            <x14:dataBar minLength="0" maxLength="100" gradient="0">
              <x14:cfvo type="num">
                <xm:f>0</xm:f>
              </x14:cfvo>
              <x14:cfvo type="num">
                <xm:f>1</xm:f>
              </x14:cfvo>
              <x14:negativeFillColor rgb="FFFF0000"/>
              <x14:axisColor rgb="FF000000"/>
            </x14:dataBar>
          </x14:cfRule>
          <xm:sqref>D89</xm:sqref>
        </x14:conditionalFormatting>
        <x14:conditionalFormatting xmlns:xm="http://schemas.microsoft.com/office/excel/2006/main">
          <x14:cfRule type="dataBar" id="{6B5902D7-CB6D-4A0E-93A2-1898FE336388}">
            <x14:dataBar minLength="0" maxLength="100" gradient="0">
              <x14:cfvo type="num">
                <xm:f>0</xm:f>
              </x14:cfvo>
              <x14:cfvo type="num">
                <xm:f>1</xm:f>
              </x14:cfvo>
              <x14:negativeFillColor rgb="FFFF0000"/>
              <x14:axisColor rgb="FF000000"/>
            </x14:dataBar>
          </x14:cfRule>
          <xm:sqref>D90</xm:sqref>
        </x14:conditionalFormatting>
        <x14:conditionalFormatting xmlns:xm="http://schemas.microsoft.com/office/excel/2006/main">
          <x14:cfRule type="dataBar" id="{EA7E397D-2E51-4CEA-8060-8A2362BE6A96}">
            <x14:dataBar minLength="0" maxLength="100" gradient="0">
              <x14:cfvo type="num">
                <xm:f>0</xm:f>
              </x14:cfvo>
              <x14:cfvo type="num">
                <xm:f>1</xm:f>
              </x14:cfvo>
              <x14:negativeFillColor rgb="FFFF0000"/>
              <x14:axisColor rgb="FF000000"/>
            </x14:dataBar>
          </x14:cfRule>
          <xm:sqref>D92</xm:sqref>
        </x14:conditionalFormatting>
        <x14:conditionalFormatting xmlns:xm="http://schemas.microsoft.com/office/excel/2006/main">
          <x14:cfRule type="dataBar" id="{04CDF161-E257-47A0-8DFE-8D0E59D0F26B}">
            <x14:dataBar minLength="0" maxLength="100" gradient="0">
              <x14:cfvo type="num">
                <xm:f>0</xm:f>
              </x14:cfvo>
              <x14:cfvo type="num">
                <xm:f>1</xm:f>
              </x14:cfvo>
              <x14:negativeFillColor rgb="FFFF0000"/>
              <x14:axisColor rgb="FF000000"/>
            </x14:dataBar>
          </x14:cfRule>
          <xm:sqref>D91</xm:sqref>
        </x14:conditionalFormatting>
        <x14:conditionalFormatting xmlns:xm="http://schemas.microsoft.com/office/excel/2006/main">
          <x14:cfRule type="dataBar" id="{AAFEFF09-3E33-4BEC-8EBD-284295E9BC5B}">
            <x14:dataBar minLength="0" maxLength="100" gradient="0">
              <x14:cfvo type="num">
                <xm:f>0</xm:f>
              </x14:cfvo>
              <x14:cfvo type="num">
                <xm:f>1</xm:f>
              </x14:cfvo>
              <x14:negativeFillColor rgb="FFFF0000"/>
              <x14:axisColor rgb="FF000000"/>
            </x14:dataBar>
          </x14:cfRule>
          <xm:sqref>D94</xm:sqref>
        </x14:conditionalFormatting>
        <x14:conditionalFormatting xmlns:xm="http://schemas.microsoft.com/office/excel/2006/main">
          <x14:cfRule type="dataBar" id="{FBA43F0E-6E7F-4BD2-A7D1-E1CA97436756}">
            <x14:dataBar minLength="0" maxLength="100" gradient="0">
              <x14:cfvo type="num">
                <xm:f>0</xm:f>
              </x14:cfvo>
              <x14:cfvo type="num">
                <xm:f>1</xm:f>
              </x14:cfvo>
              <x14:negativeFillColor rgb="FFFF0000"/>
              <x14:axisColor rgb="FF000000"/>
            </x14:dataBar>
          </x14:cfRule>
          <xm:sqref>D93</xm:sqref>
        </x14:conditionalFormatting>
        <x14:conditionalFormatting xmlns:xm="http://schemas.microsoft.com/office/excel/2006/main">
          <x14:cfRule type="dataBar" id="{67621224-A9EB-4B6F-941A-E6EDD45A1127}">
            <x14:dataBar minLength="0" maxLength="100" gradient="0">
              <x14:cfvo type="num">
                <xm:f>0</xm:f>
              </x14:cfvo>
              <x14:cfvo type="num">
                <xm:f>1</xm:f>
              </x14:cfvo>
              <x14:negativeFillColor rgb="FFFF0000"/>
              <x14:axisColor rgb="FF000000"/>
            </x14:dataBar>
          </x14:cfRule>
          <xm:sqref>D95</xm:sqref>
        </x14:conditionalFormatting>
        <x14:conditionalFormatting xmlns:xm="http://schemas.microsoft.com/office/excel/2006/main">
          <x14:cfRule type="dataBar" id="{E41819C5-DE6D-4F02-A801-97B06EBEB74A}">
            <x14:dataBar minLength="0" maxLength="100" gradient="0">
              <x14:cfvo type="num">
                <xm:f>0</xm:f>
              </x14:cfvo>
              <x14:cfvo type="num">
                <xm:f>1</xm:f>
              </x14:cfvo>
              <x14:negativeFillColor rgb="FFFF0000"/>
              <x14:axisColor rgb="FF000000"/>
            </x14:dataBar>
          </x14:cfRule>
          <xm:sqref>D97</xm:sqref>
        </x14:conditionalFormatting>
        <x14:conditionalFormatting xmlns:xm="http://schemas.microsoft.com/office/excel/2006/main">
          <x14:cfRule type="dataBar" id="{EC86A341-02FC-4F96-B414-1D5BA2089C09}">
            <x14:dataBar minLength="0" maxLength="100" gradient="0">
              <x14:cfvo type="num">
                <xm:f>0</xm:f>
              </x14:cfvo>
              <x14:cfvo type="num">
                <xm:f>1</xm:f>
              </x14:cfvo>
              <x14:negativeFillColor rgb="FFFF0000"/>
              <x14:axisColor rgb="FF000000"/>
            </x14:dataBar>
          </x14:cfRule>
          <xm:sqref>D99</xm:sqref>
        </x14:conditionalFormatting>
        <x14:conditionalFormatting xmlns:xm="http://schemas.microsoft.com/office/excel/2006/main">
          <x14:cfRule type="dataBar" id="{BF7AE6A7-2F6E-419D-B6FB-EC0700FA3CA3}">
            <x14:dataBar minLength="0" maxLength="100" gradient="0">
              <x14:cfvo type="num">
                <xm:f>0</xm:f>
              </x14:cfvo>
              <x14:cfvo type="num">
                <xm:f>1</xm:f>
              </x14:cfvo>
              <x14:negativeFillColor rgb="FFFF0000"/>
              <x14:axisColor rgb="FF000000"/>
            </x14:dataBar>
          </x14:cfRule>
          <xm:sqref>D98</xm:sqref>
        </x14:conditionalFormatting>
        <x14:conditionalFormatting xmlns:xm="http://schemas.microsoft.com/office/excel/2006/main">
          <x14:cfRule type="dataBar" id="{375BC1F4-FB71-4F13-9628-9638EB9A84CF}">
            <x14:dataBar minLength="0" maxLength="100" gradient="0">
              <x14:cfvo type="num">
                <xm:f>0</xm:f>
              </x14:cfvo>
              <x14:cfvo type="num">
                <xm:f>1</xm:f>
              </x14:cfvo>
              <x14:negativeFillColor rgb="FFFF0000"/>
              <x14:axisColor rgb="FF000000"/>
            </x14:dataBar>
          </x14:cfRule>
          <xm:sqref>D100</xm:sqref>
        </x14:conditionalFormatting>
        <x14:conditionalFormatting xmlns:xm="http://schemas.microsoft.com/office/excel/2006/main">
          <x14:cfRule type="dataBar" id="{776484C2-8638-4DEB-80AF-2A42163EAF5F}">
            <x14:dataBar minLength="0" maxLength="100" gradient="0">
              <x14:cfvo type="num">
                <xm:f>0</xm:f>
              </x14:cfvo>
              <x14:cfvo type="num">
                <xm:f>1</xm:f>
              </x14:cfvo>
              <x14:negativeFillColor rgb="FFFF0000"/>
              <x14:axisColor rgb="FF000000"/>
            </x14:dataBar>
          </x14:cfRule>
          <xm:sqref>D101</xm:sqref>
        </x14:conditionalFormatting>
        <x14:conditionalFormatting xmlns:xm="http://schemas.microsoft.com/office/excel/2006/main">
          <x14:cfRule type="dataBar" id="{DDF998B1-4841-4F0E-9137-9C5A6DD22941}">
            <x14:dataBar minLength="0" maxLength="100" gradient="0">
              <x14:cfvo type="num">
                <xm:f>0</xm:f>
              </x14:cfvo>
              <x14:cfvo type="num">
                <xm:f>1</xm:f>
              </x14:cfvo>
              <x14:negativeFillColor rgb="FFFF0000"/>
              <x14:axisColor rgb="FF000000"/>
            </x14:dataBar>
          </x14:cfRule>
          <xm:sqref>D103</xm:sqref>
        </x14:conditionalFormatting>
        <x14:conditionalFormatting xmlns:xm="http://schemas.microsoft.com/office/excel/2006/main">
          <x14:cfRule type="dataBar" id="{11D835C9-9A33-40C9-979C-5DE7C08F31DC}">
            <x14:dataBar minLength="0" maxLength="100" gradient="0">
              <x14:cfvo type="num">
                <xm:f>0</xm:f>
              </x14:cfvo>
              <x14:cfvo type="num">
                <xm:f>1</xm:f>
              </x14:cfvo>
              <x14:negativeFillColor rgb="FFFF0000"/>
              <x14:axisColor rgb="FF000000"/>
            </x14:dataBar>
          </x14:cfRule>
          <xm:sqref>D102</xm:sqref>
        </x14:conditionalFormatting>
        <x14:conditionalFormatting xmlns:xm="http://schemas.microsoft.com/office/excel/2006/main">
          <x14:cfRule type="dataBar" id="{8FCCA79C-4821-4DCA-9E66-F83A1C658B2A}">
            <x14:dataBar minLength="0" maxLength="100" gradient="0">
              <x14:cfvo type="num">
                <xm:f>0</xm:f>
              </x14:cfvo>
              <x14:cfvo type="num">
                <xm:f>1</xm:f>
              </x14:cfvo>
              <x14:negativeFillColor rgb="FFFF0000"/>
              <x14:axisColor rgb="FF000000"/>
            </x14:dataBar>
          </x14:cfRule>
          <xm:sqref>D105</xm:sqref>
        </x14:conditionalFormatting>
        <x14:conditionalFormatting xmlns:xm="http://schemas.microsoft.com/office/excel/2006/main">
          <x14:cfRule type="dataBar" id="{A332004A-A78C-4391-9DD2-3CD1940B28C7}">
            <x14:dataBar minLength="0" maxLength="100" gradient="0">
              <x14:cfvo type="num">
                <xm:f>0</xm:f>
              </x14:cfvo>
              <x14:cfvo type="num">
                <xm:f>1</xm:f>
              </x14:cfvo>
              <x14:negativeFillColor rgb="FFFF0000"/>
              <x14:axisColor rgb="FF000000"/>
            </x14:dataBar>
          </x14:cfRule>
          <xm:sqref>D104</xm:sqref>
        </x14:conditionalFormatting>
        <x14:conditionalFormatting xmlns:xm="http://schemas.microsoft.com/office/excel/2006/main">
          <x14:cfRule type="dataBar" id="{138952DF-8C56-43E2-8E60-912A9D2BABD8}">
            <x14:dataBar minLength="0" maxLength="100" gradient="0">
              <x14:cfvo type="num">
                <xm:f>0</xm:f>
              </x14:cfvo>
              <x14:cfvo type="num">
                <xm:f>1</xm:f>
              </x14:cfvo>
              <x14:negativeFillColor rgb="FFFF0000"/>
              <x14:axisColor rgb="FF000000"/>
            </x14:dataBar>
          </x14:cfRule>
          <xm:sqref>D106</xm:sqref>
        </x14:conditionalFormatting>
        <x14:conditionalFormatting xmlns:xm="http://schemas.microsoft.com/office/excel/2006/main">
          <x14:cfRule type="dataBar" id="{7DA69955-1BC7-4419-9415-B1C87ED63030}">
            <x14:dataBar minLength="0" maxLength="100" gradient="0">
              <x14:cfvo type="num">
                <xm:f>0</xm:f>
              </x14:cfvo>
              <x14:cfvo type="num">
                <xm:f>1</xm:f>
              </x14:cfvo>
              <x14:negativeFillColor rgb="FFFF0000"/>
              <x14:axisColor rgb="FF000000"/>
            </x14:dataBar>
          </x14:cfRule>
          <xm:sqref>D108</xm:sqref>
        </x14:conditionalFormatting>
        <x14:conditionalFormatting xmlns:xm="http://schemas.microsoft.com/office/excel/2006/main">
          <x14:cfRule type="dataBar" id="{0D8B80AD-0F93-4A0C-9486-C95D7F5B53C6}">
            <x14:dataBar minLength="0" maxLength="100" gradient="0">
              <x14:cfvo type="num">
                <xm:f>0</xm:f>
              </x14:cfvo>
              <x14:cfvo type="num">
                <xm:f>1</xm:f>
              </x14:cfvo>
              <x14:negativeFillColor rgb="FFFF0000"/>
              <x14:axisColor rgb="FF000000"/>
            </x14:dataBar>
          </x14:cfRule>
          <xm:sqref>D107</xm:sqref>
        </x14:conditionalFormatting>
        <x14:conditionalFormatting xmlns:xm="http://schemas.microsoft.com/office/excel/2006/main">
          <x14:cfRule type="dataBar" id="{5C3B52B0-D2F0-4306-AF03-F2880BE32C9D}">
            <x14:dataBar minLength="0" maxLength="100" gradient="0">
              <x14:cfvo type="num">
                <xm:f>0</xm:f>
              </x14:cfvo>
              <x14:cfvo type="num">
                <xm:f>1</xm:f>
              </x14:cfvo>
              <x14:negativeFillColor rgb="FFFF0000"/>
              <x14:axisColor rgb="FF000000"/>
            </x14:dataBar>
          </x14:cfRule>
          <xm:sqref>D109</xm:sqref>
        </x14:conditionalFormatting>
        <x14:conditionalFormatting xmlns:xm="http://schemas.microsoft.com/office/excel/2006/main">
          <x14:cfRule type="dataBar" id="{9EC3A6F0-AB8F-410B-BC82-183247DFB4EC}">
            <x14:dataBar minLength="0" maxLength="100" gradient="0">
              <x14:cfvo type="num">
                <xm:f>0</xm:f>
              </x14:cfvo>
              <x14:cfvo type="num">
                <xm:f>1</xm:f>
              </x14:cfvo>
              <x14:negativeFillColor rgb="FFFF0000"/>
              <x14:axisColor rgb="FF000000"/>
            </x14:dataBar>
          </x14:cfRule>
          <xm:sqref>D110</xm:sqref>
        </x14:conditionalFormatting>
        <x14:conditionalFormatting xmlns:xm="http://schemas.microsoft.com/office/excel/2006/main">
          <x14:cfRule type="dataBar" id="{104A3ED0-8E77-4DBD-9077-AC779FFEFC06}">
            <x14:dataBar minLength="0" maxLength="100" gradient="0">
              <x14:cfvo type="num">
                <xm:f>0</xm:f>
              </x14:cfvo>
              <x14:cfvo type="num">
                <xm:f>1</xm:f>
              </x14:cfvo>
              <x14:negativeFillColor rgb="FFFF0000"/>
              <x14:axisColor rgb="FF000000"/>
            </x14:dataBar>
          </x14:cfRule>
          <xm:sqref>D112</xm:sqref>
        </x14:conditionalFormatting>
        <x14:conditionalFormatting xmlns:xm="http://schemas.microsoft.com/office/excel/2006/main">
          <x14:cfRule type="dataBar" id="{248DCC98-E309-424D-85AC-2BBBC9A2D57D}">
            <x14:dataBar minLength="0" maxLength="100" gradient="0">
              <x14:cfvo type="num">
                <xm:f>0</xm:f>
              </x14:cfvo>
              <x14:cfvo type="num">
                <xm:f>1</xm:f>
              </x14:cfvo>
              <x14:negativeFillColor rgb="FFFF0000"/>
              <x14:axisColor rgb="FF000000"/>
            </x14:dataBar>
          </x14:cfRule>
          <xm:sqref>D111</xm:sqref>
        </x14:conditionalFormatting>
        <x14:conditionalFormatting xmlns:xm="http://schemas.microsoft.com/office/excel/2006/main">
          <x14:cfRule type="dataBar" id="{5B9B2DA9-468D-4C68-B5E4-BCBF0BF042A1}">
            <x14:dataBar minLength="0" maxLength="100" gradient="0">
              <x14:cfvo type="num">
                <xm:f>0</xm:f>
              </x14:cfvo>
              <x14:cfvo type="num">
                <xm:f>1</xm:f>
              </x14:cfvo>
              <x14:negativeFillColor rgb="FFFF0000"/>
              <x14:axisColor rgb="FF000000"/>
            </x14:dataBar>
          </x14:cfRule>
          <xm:sqref>D114</xm:sqref>
        </x14:conditionalFormatting>
        <x14:conditionalFormatting xmlns:xm="http://schemas.microsoft.com/office/excel/2006/main">
          <x14:cfRule type="dataBar" id="{6BE2CC1A-1881-4CE6-BB50-C6BCF889E62D}">
            <x14:dataBar minLength="0" maxLength="100" gradient="0">
              <x14:cfvo type="num">
                <xm:f>0</xm:f>
              </x14:cfvo>
              <x14:cfvo type="num">
                <xm:f>1</xm:f>
              </x14:cfvo>
              <x14:negativeFillColor rgb="FFFF0000"/>
              <x14:axisColor rgb="FF000000"/>
            </x14:dataBar>
          </x14:cfRule>
          <xm:sqref>D113</xm:sqref>
        </x14:conditionalFormatting>
        <x14:conditionalFormatting xmlns:xm="http://schemas.microsoft.com/office/excel/2006/main">
          <x14:cfRule type="dataBar" id="{88F5A52F-945D-453B-8C41-4C15445E03B5}">
            <x14:dataBar minLength="0" maxLength="100" gradient="0">
              <x14:cfvo type="num">
                <xm:f>0</xm:f>
              </x14:cfvo>
              <x14:cfvo type="num">
                <xm:f>1</xm:f>
              </x14:cfvo>
              <x14:negativeFillColor rgb="FFFF0000"/>
              <x14:axisColor rgb="FF000000"/>
            </x14:dataBar>
          </x14:cfRule>
          <xm:sqref>D115</xm:sqref>
        </x14:conditionalFormatting>
        <x14:conditionalFormatting xmlns:xm="http://schemas.microsoft.com/office/excel/2006/main">
          <x14:cfRule type="dataBar" id="{7F68FF78-30EB-415D-BB86-9E6116AA1C98}">
            <x14:dataBar minLength="0" maxLength="100" gradient="0">
              <x14:cfvo type="num">
                <xm:f>0</xm:f>
              </x14:cfvo>
              <x14:cfvo type="num">
                <xm:f>1</xm:f>
              </x14:cfvo>
              <x14:negativeFillColor rgb="FFFF0000"/>
              <x14:axisColor rgb="FF000000"/>
            </x14:dataBar>
          </x14:cfRule>
          <xm:sqref>D116</xm:sqref>
        </x14:conditionalFormatting>
        <x14:conditionalFormatting xmlns:xm="http://schemas.microsoft.com/office/excel/2006/main">
          <x14:cfRule type="dataBar" id="{A752558A-BDAD-4E50-8953-96728ABACC9C}">
            <x14:dataBar minLength="0" maxLength="100" gradient="0">
              <x14:cfvo type="num">
                <xm:f>0</xm:f>
              </x14:cfvo>
              <x14:cfvo type="num">
                <xm:f>1</xm:f>
              </x14:cfvo>
              <x14:negativeFillColor rgb="FFFF0000"/>
              <x14:axisColor rgb="FF000000"/>
            </x14:dataBar>
          </x14:cfRule>
          <xm:sqref>D139</xm:sqref>
        </x14:conditionalFormatting>
        <x14:conditionalFormatting xmlns:xm="http://schemas.microsoft.com/office/excel/2006/main">
          <x14:cfRule type="dataBar" id="{96CF7553-66B1-43F0-A488-B74C3BA1C2E0}">
            <x14:dataBar minLength="0" maxLength="100" gradient="0">
              <x14:cfvo type="num">
                <xm:f>0</xm:f>
              </x14:cfvo>
              <x14:cfvo type="num">
                <xm:f>1</xm:f>
              </x14:cfvo>
              <x14:negativeFillColor rgb="FFFF0000"/>
              <x14:axisColor rgb="FF000000"/>
            </x14:dataBar>
          </x14:cfRule>
          <xm:sqref>D141</xm:sqref>
        </x14:conditionalFormatting>
        <x14:conditionalFormatting xmlns:xm="http://schemas.microsoft.com/office/excel/2006/main">
          <x14:cfRule type="dataBar" id="{FAA3A1CC-08F3-4810-9A3E-F87A49BF751F}">
            <x14:dataBar minLength="0" maxLength="100" gradient="0">
              <x14:cfvo type="num">
                <xm:f>0</xm:f>
              </x14:cfvo>
              <x14:cfvo type="num">
                <xm:f>1</xm:f>
              </x14:cfvo>
              <x14:negativeFillColor rgb="FFFF0000"/>
              <x14:axisColor rgb="FF000000"/>
            </x14:dataBar>
          </x14:cfRule>
          <xm:sqref>D140</xm:sqref>
        </x14:conditionalFormatting>
        <x14:conditionalFormatting xmlns:xm="http://schemas.microsoft.com/office/excel/2006/main">
          <x14:cfRule type="dataBar" id="{076C4FAB-41CD-4EF4-9F4F-ACC79B1D7281}">
            <x14:dataBar minLength="0" maxLength="100" gradient="0">
              <x14:cfvo type="num">
                <xm:f>0</xm:f>
              </x14:cfvo>
              <x14:cfvo type="num">
                <xm:f>1</xm:f>
              </x14:cfvo>
              <x14:negativeFillColor rgb="FFFF0000"/>
              <x14:axisColor rgb="FF000000"/>
            </x14:dataBar>
          </x14:cfRule>
          <xm:sqref>D142</xm:sqref>
        </x14:conditionalFormatting>
        <x14:conditionalFormatting xmlns:xm="http://schemas.microsoft.com/office/excel/2006/main">
          <x14:cfRule type="dataBar" id="{5D7501C1-6040-48DE-AB79-F85BC3A56404}">
            <x14:dataBar minLength="0" maxLength="100" gradient="0">
              <x14:cfvo type="num">
                <xm:f>0</xm:f>
              </x14:cfvo>
              <x14:cfvo type="num">
                <xm:f>1</xm:f>
              </x14:cfvo>
              <x14:negativeFillColor rgb="FFFF0000"/>
              <x14:axisColor rgb="FF000000"/>
            </x14:dataBar>
          </x14:cfRule>
          <xm:sqref>D143</xm:sqref>
        </x14:conditionalFormatting>
        <x14:conditionalFormatting xmlns:xm="http://schemas.microsoft.com/office/excel/2006/main">
          <x14:cfRule type="dataBar" id="{8342D6FD-976B-429F-B620-B03D8378EE56}">
            <x14:dataBar minLength="0" maxLength="100" gradient="0">
              <x14:cfvo type="num">
                <xm:f>0</xm:f>
              </x14:cfvo>
              <x14:cfvo type="num">
                <xm:f>1</xm:f>
              </x14:cfvo>
              <x14:negativeFillColor rgb="FFFF0000"/>
              <x14:axisColor rgb="FF000000"/>
            </x14:dataBar>
          </x14:cfRule>
          <xm:sqref>D145</xm:sqref>
        </x14:conditionalFormatting>
        <x14:conditionalFormatting xmlns:xm="http://schemas.microsoft.com/office/excel/2006/main">
          <x14:cfRule type="dataBar" id="{CF57DF3A-86A3-4F8F-AA36-AD1F8885B90D}">
            <x14:dataBar minLength="0" maxLength="100" gradient="0">
              <x14:cfvo type="num">
                <xm:f>0</xm:f>
              </x14:cfvo>
              <x14:cfvo type="num">
                <xm:f>1</xm:f>
              </x14:cfvo>
              <x14:negativeFillColor rgb="FFFF0000"/>
              <x14:axisColor rgb="FF000000"/>
            </x14:dataBar>
          </x14:cfRule>
          <xm:sqref>D144</xm:sqref>
        </x14:conditionalFormatting>
        <x14:conditionalFormatting xmlns:xm="http://schemas.microsoft.com/office/excel/2006/main">
          <x14:cfRule type="dataBar" id="{5F2EBE6C-0381-4E7E-AC9A-4DE40239ABDA}">
            <x14:dataBar minLength="0" maxLength="100" gradient="0">
              <x14:cfvo type="num">
                <xm:f>0</xm:f>
              </x14:cfvo>
              <x14:cfvo type="num">
                <xm:f>1</xm:f>
              </x14:cfvo>
              <x14:negativeFillColor rgb="FFFF0000"/>
              <x14:axisColor rgb="FF000000"/>
            </x14:dataBar>
          </x14:cfRule>
          <xm:sqref>D146</xm:sqref>
        </x14:conditionalFormatting>
        <x14:conditionalFormatting xmlns:xm="http://schemas.microsoft.com/office/excel/2006/main">
          <x14:cfRule type="dataBar" id="{0FB0868A-00FB-4708-BFBD-206FD3557F36}">
            <x14:dataBar minLength="0" maxLength="100" gradient="0">
              <x14:cfvo type="num">
                <xm:f>0</xm:f>
              </x14:cfvo>
              <x14:cfvo type="num">
                <xm:f>1</xm:f>
              </x14:cfvo>
              <x14:negativeFillColor rgb="FFFF0000"/>
              <x14:axisColor rgb="FF000000"/>
            </x14:dataBar>
          </x14:cfRule>
          <xm:sqref>D147</xm:sqref>
        </x14:conditionalFormatting>
        <x14:conditionalFormatting xmlns:xm="http://schemas.microsoft.com/office/excel/2006/main">
          <x14:cfRule type="dataBar" id="{1E1C630D-C271-4DFF-9388-8B3AA53E9389}">
            <x14:dataBar minLength="0" maxLength="100" gradient="0">
              <x14:cfvo type="num">
                <xm:f>0</xm:f>
              </x14:cfvo>
              <x14:cfvo type="num">
                <xm:f>1</xm:f>
              </x14:cfvo>
              <x14:negativeFillColor rgb="FFFF0000"/>
              <x14:axisColor rgb="FF000000"/>
            </x14:dataBar>
          </x14:cfRule>
          <xm:sqref>D186</xm:sqref>
        </x14:conditionalFormatting>
        <x14:conditionalFormatting xmlns:xm="http://schemas.microsoft.com/office/excel/2006/main">
          <x14:cfRule type="dataBar" id="{B79BE7E0-5746-40BC-BFDD-6AB44577824C}">
            <x14:dataBar minLength="0" maxLength="100" gradient="0">
              <x14:cfvo type="num">
                <xm:f>0</xm:f>
              </x14:cfvo>
              <x14:cfvo type="num">
                <xm:f>1</xm:f>
              </x14:cfvo>
              <x14:negativeFillColor rgb="FFFF0000"/>
              <x14:axisColor rgb="FF000000"/>
            </x14:dataBar>
          </x14:cfRule>
          <xm:sqref>D188</xm:sqref>
        </x14:conditionalFormatting>
        <x14:conditionalFormatting xmlns:xm="http://schemas.microsoft.com/office/excel/2006/main">
          <x14:cfRule type="dataBar" id="{3876D18E-3B73-443F-97C3-0C8E5FBD1255}">
            <x14:dataBar minLength="0" maxLength="100" gradient="0">
              <x14:cfvo type="num">
                <xm:f>0</xm:f>
              </x14:cfvo>
              <x14:cfvo type="num">
                <xm:f>1</xm:f>
              </x14:cfvo>
              <x14:negativeFillColor rgb="FFFF0000"/>
              <x14:axisColor rgb="FF000000"/>
            </x14:dataBar>
          </x14:cfRule>
          <xm:sqref>D187</xm:sqref>
        </x14:conditionalFormatting>
        <x14:conditionalFormatting xmlns:xm="http://schemas.microsoft.com/office/excel/2006/main">
          <x14:cfRule type="dataBar" id="{91362199-0A79-476E-86D5-73C26AC94461}">
            <x14:dataBar minLength="0" maxLength="100" gradient="0">
              <x14:cfvo type="num">
                <xm:f>0</xm:f>
              </x14:cfvo>
              <x14:cfvo type="num">
                <xm:f>1</xm:f>
              </x14:cfvo>
              <x14:negativeFillColor rgb="FFFF0000"/>
              <x14:axisColor rgb="FF000000"/>
            </x14:dataBar>
          </x14:cfRule>
          <xm:sqref>D189</xm:sqref>
        </x14:conditionalFormatting>
        <x14:conditionalFormatting xmlns:xm="http://schemas.microsoft.com/office/excel/2006/main">
          <x14:cfRule type="dataBar" id="{66283EF3-664A-4C5C-AC03-697C52330225}">
            <x14:dataBar minLength="0" maxLength="100" gradient="0">
              <x14:cfvo type="num">
                <xm:f>0</xm:f>
              </x14:cfvo>
              <x14:cfvo type="num">
                <xm:f>1</xm:f>
              </x14:cfvo>
              <x14:negativeFillColor rgb="FFFF0000"/>
              <x14:axisColor rgb="FF000000"/>
            </x14:dataBar>
          </x14:cfRule>
          <xm:sqref>D193</xm:sqref>
        </x14:conditionalFormatting>
        <x14:conditionalFormatting xmlns:xm="http://schemas.microsoft.com/office/excel/2006/main">
          <x14:cfRule type="dataBar" id="{F106BE56-ABAE-43A9-8523-E4CD9BAD6200}">
            <x14:dataBar minLength="0" maxLength="100" gradient="0">
              <x14:cfvo type="num">
                <xm:f>0</xm:f>
              </x14:cfvo>
              <x14:cfvo type="num">
                <xm:f>1</xm:f>
              </x14:cfvo>
              <x14:negativeFillColor rgb="FFFF0000"/>
              <x14:axisColor rgb="FF000000"/>
            </x14:dataBar>
          </x14:cfRule>
          <xm:sqref>D192</xm:sqref>
        </x14:conditionalFormatting>
        <x14:conditionalFormatting xmlns:xm="http://schemas.microsoft.com/office/excel/2006/main">
          <x14:cfRule type="dataBar" id="{907C2458-B15C-4027-AD95-5BEFA8DB2E47}">
            <x14:dataBar minLength="0" maxLength="100" gradient="0">
              <x14:cfvo type="num">
                <xm:f>0</xm:f>
              </x14:cfvo>
              <x14:cfvo type="num">
                <xm:f>1</xm:f>
              </x14:cfvo>
              <x14:negativeFillColor rgb="FFFF0000"/>
              <x14:axisColor rgb="FF000000"/>
            </x14:dataBar>
          </x14:cfRule>
          <xm:sqref>D194</xm:sqref>
        </x14:conditionalFormatting>
        <x14:conditionalFormatting xmlns:xm="http://schemas.microsoft.com/office/excel/2006/main">
          <x14:cfRule type="dataBar" id="{F8514D57-03DD-4D62-841F-DD81340E9150}">
            <x14:dataBar minLength="0" maxLength="100" gradient="0">
              <x14:cfvo type="num">
                <xm:f>0</xm:f>
              </x14:cfvo>
              <x14:cfvo type="num">
                <xm:f>1</xm:f>
              </x14:cfvo>
              <x14:negativeFillColor rgb="FFFF0000"/>
              <x14:axisColor rgb="FF000000"/>
            </x14:dataBar>
          </x14:cfRule>
          <xm:sqref>D190</xm:sqref>
        </x14:conditionalFormatting>
        <x14:conditionalFormatting xmlns:xm="http://schemas.microsoft.com/office/excel/2006/main">
          <x14:cfRule type="dataBar" id="{CA2CB4D5-447B-493C-834E-36EC649B2126}">
            <x14:dataBar minLength="0" maxLength="100" gradient="0">
              <x14:cfvo type="num">
                <xm:f>0</xm:f>
              </x14:cfvo>
              <x14:cfvo type="num">
                <xm:f>1</xm:f>
              </x14:cfvo>
              <x14:negativeFillColor rgb="FFFF0000"/>
              <x14:axisColor rgb="FF000000"/>
            </x14:dataBar>
          </x14:cfRule>
          <xm:sqref>D191</xm:sqref>
        </x14:conditionalFormatting>
        <x14:conditionalFormatting xmlns:xm="http://schemas.microsoft.com/office/excel/2006/main">
          <x14:cfRule type="dataBar" id="{9AB855B4-4B4F-45E4-A122-1C9F8BC34764}">
            <x14:dataBar minLength="0" maxLength="100" gradient="0">
              <x14:cfvo type="num">
                <xm:f>0</xm:f>
              </x14:cfvo>
              <x14:cfvo type="num">
                <xm:f>1</xm:f>
              </x14:cfvo>
              <x14:negativeFillColor rgb="FFFF0000"/>
              <x14:axisColor rgb="FF000000"/>
            </x14:dataBar>
          </x14:cfRule>
          <xm:sqref>D195</xm:sqref>
        </x14:conditionalFormatting>
        <x14:conditionalFormatting xmlns:xm="http://schemas.microsoft.com/office/excel/2006/main">
          <x14:cfRule type="dataBar" id="{07BE8FF3-F8C5-4EED-AE55-803873F2A93B}">
            <x14:dataBar minLength="0" maxLength="100" gradient="0">
              <x14:cfvo type="num">
                <xm:f>0</xm:f>
              </x14:cfvo>
              <x14:cfvo type="num">
                <xm:f>1</xm:f>
              </x14:cfvo>
              <x14:negativeFillColor rgb="FFFF0000"/>
              <x14:axisColor rgb="FF000000"/>
            </x14:dataBar>
          </x14:cfRule>
          <xm:sqref>D197</xm:sqref>
        </x14:conditionalFormatting>
        <x14:conditionalFormatting xmlns:xm="http://schemas.microsoft.com/office/excel/2006/main">
          <x14:cfRule type="dataBar" id="{5E275FEC-8B5F-45E3-BC2B-C8EF0C457420}">
            <x14:dataBar minLength="0" maxLength="100" gradient="0">
              <x14:cfvo type="num">
                <xm:f>0</xm:f>
              </x14:cfvo>
              <x14:cfvo type="num">
                <xm:f>1</xm:f>
              </x14:cfvo>
              <x14:negativeFillColor rgb="FFFF0000"/>
              <x14:axisColor rgb="FF000000"/>
            </x14:dataBar>
          </x14:cfRule>
          <xm:sqref>D196</xm:sqref>
        </x14:conditionalFormatting>
        <x14:conditionalFormatting xmlns:xm="http://schemas.microsoft.com/office/excel/2006/main">
          <x14:cfRule type="dataBar" id="{A1835A3E-D4D4-4DC7-8C78-1EA96F0F129B}">
            <x14:dataBar minLength="0" maxLength="100" gradient="0">
              <x14:cfvo type="num">
                <xm:f>0</xm:f>
              </x14:cfvo>
              <x14:cfvo type="num">
                <xm:f>1</xm:f>
              </x14:cfvo>
              <x14:negativeFillColor rgb="FFFF0000"/>
              <x14:axisColor rgb="FF000000"/>
            </x14:dataBar>
          </x14:cfRule>
          <xm:sqref>D198</xm:sqref>
        </x14:conditionalFormatting>
        <x14:conditionalFormatting xmlns:xm="http://schemas.microsoft.com/office/excel/2006/main">
          <x14:cfRule type="dataBar" id="{B5FAC15B-D14C-4F25-A029-C371F9870ED4}">
            <x14:dataBar minLength="0" maxLength="100" gradient="0">
              <x14:cfvo type="num">
                <xm:f>0</xm:f>
              </x14:cfvo>
              <x14:cfvo type="num">
                <xm:f>1</xm:f>
              </x14:cfvo>
              <x14:negativeFillColor rgb="FFFF0000"/>
              <x14:axisColor rgb="FF000000"/>
            </x14:dataBar>
          </x14:cfRule>
          <xm:sqref>D199</xm:sqref>
        </x14:conditionalFormatting>
        <x14:conditionalFormatting xmlns:xm="http://schemas.microsoft.com/office/excel/2006/main">
          <x14:cfRule type="dataBar" id="{2DFA4945-F17E-441C-A945-A6B57BC6B268}">
            <x14:dataBar minLength="0" maxLength="100" gradient="0">
              <x14:cfvo type="num">
                <xm:f>0</xm:f>
              </x14:cfvo>
              <x14:cfvo type="num">
                <xm:f>1</xm:f>
              </x14:cfvo>
              <x14:negativeFillColor rgb="FFFF0000"/>
              <x14:axisColor rgb="FF000000"/>
            </x14:dataBar>
          </x14:cfRule>
          <xm:sqref>D201</xm:sqref>
        </x14:conditionalFormatting>
        <x14:conditionalFormatting xmlns:xm="http://schemas.microsoft.com/office/excel/2006/main">
          <x14:cfRule type="dataBar" id="{2381103D-56AA-4D87-B479-0CA52B006399}">
            <x14:dataBar minLength="0" maxLength="100" gradient="0">
              <x14:cfvo type="num">
                <xm:f>0</xm:f>
              </x14:cfvo>
              <x14:cfvo type="num">
                <xm:f>1</xm:f>
              </x14:cfvo>
              <x14:negativeFillColor rgb="FFFF0000"/>
              <x14:axisColor rgb="FF000000"/>
            </x14:dataBar>
          </x14:cfRule>
          <xm:sqref>D200</xm:sqref>
        </x14:conditionalFormatting>
        <x14:conditionalFormatting xmlns:xm="http://schemas.microsoft.com/office/excel/2006/main">
          <x14:cfRule type="dataBar" id="{CD88E94A-7326-4D28-BA09-38C7525F1B75}">
            <x14:dataBar minLength="0" maxLength="100" gradient="0">
              <x14:cfvo type="num">
                <xm:f>0</xm:f>
              </x14:cfvo>
              <x14:cfvo type="num">
                <xm:f>1</xm:f>
              </x14:cfvo>
              <x14:negativeFillColor rgb="FFFF0000"/>
              <x14:axisColor rgb="FF000000"/>
            </x14:dataBar>
          </x14:cfRule>
          <xm:sqref>D202</xm:sqref>
        </x14:conditionalFormatting>
        <x14:conditionalFormatting xmlns:xm="http://schemas.microsoft.com/office/excel/2006/main">
          <x14:cfRule type="dataBar" id="{A8633410-5827-4ADC-B53B-824A329C5368}">
            <x14:dataBar minLength="0" maxLength="100" gradient="0">
              <x14:cfvo type="num">
                <xm:f>0</xm:f>
              </x14:cfvo>
              <x14:cfvo type="num">
                <xm:f>1</xm:f>
              </x14:cfvo>
              <x14:negativeFillColor rgb="FFFF0000"/>
              <x14:axisColor rgb="FF000000"/>
            </x14:dataBar>
          </x14:cfRule>
          <xm:sqref>D203</xm:sqref>
        </x14:conditionalFormatting>
        <x14:conditionalFormatting xmlns:xm="http://schemas.microsoft.com/office/excel/2006/main">
          <x14:cfRule type="dataBar" id="{B265C14D-A318-4BE4-BD21-EA4D20F33CE3}">
            <x14:dataBar minLength="0" maxLength="100" gradient="0">
              <x14:cfvo type="num">
                <xm:f>0</xm:f>
              </x14:cfvo>
              <x14:cfvo type="num">
                <xm:f>1</xm:f>
              </x14:cfvo>
              <x14:negativeFillColor rgb="FFFF0000"/>
              <x14:axisColor rgb="FF000000"/>
            </x14:dataBar>
          </x14:cfRule>
          <xm:sqref>D205</xm:sqref>
        </x14:conditionalFormatting>
        <x14:conditionalFormatting xmlns:xm="http://schemas.microsoft.com/office/excel/2006/main">
          <x14:cfRule type="dataBar" id="{0975E921-014A-4260-B42B-4AC37DC2BE82}">
            <x14:dataBar minLength="0" maxLength="100" gradient="0">
              <x14:cfvo type="num">
                <xm:f>0</xm:f>
              </x14:cfvo>
              <x14:cfvo type="num">
                <xm:f>1</xm:f>
              </x14:cfvo>
              <x14:negativeFillColor rgb="FFFF0000"/>
              <x14:axisColor rgb="FF000000"/>
            </x14:dataBar>
          </x14:cfRule>
          <xm:sqref>D204</xm:sqref>
        </x14:conditionalFormatting>
        <x14:conditionalFormatting xmlns:xm="http://schemas.microsoft.com/office/excel/2006/main">
          <x14:cfRule type="dataBar" id="{3AE256E1-8681-4938-8E60-EFC3840A9B14}">
            <x14:dataBar minLength="0" maxLength="100" gradient="0">
              <x14:cfvo type="num">
                <xm:f>0</xm:f>
              </x14:cfvo>
              <x14:cfvo type="num">
                <xm:f>1</xm:f>
              </x14:cfvo>
              <x14:negativeFillColor rgb="FFFF0000"/>
              <x14:axisColor rgb="FF000000"/>
            </x14:dataBar>
          </x14:cfRule>
          <xm:sqref>D206</xm:sqref>
        </x14:conditionalFormatting>
        <x14:conditionalFormatting xmlns:xm="http://schemas.microsoft.com/office/excel/2006/main">
          <x14:cfRule type="dataBar" id="{BC5894B2-4698-4B55-8AC1-9F871414161D}">
            <x14:dataBar minLength="0" maxLength="100" gradient="0">
              <x14:cfvo type="num">
                <xm:f>0</xm:f>
              </x14:cfvo>
              <x14:cfvo type="num">
                <xm:f>1</xm:f>
              </x14:cfvo>
              <x14:negativeFillColor rgb="FFFF0000"/>
              <x14:axisColor rgb="FF000000"/>
            </x14:dataBar>
          </x14:cfRule>
          <xm:sqref>D207</xm:sqref>
        </x14:conditionalFormatting>
        <x14:conditionalFormatting xmlns:xm="http://schemas.microsoft.com/office/excel/2006/main">
          <x14:cfRule type="dataBar" id="{393D40EF-830E-480E-BFFE-2B8D19E86919}">
            <x14:dataBar minLength="0" maxLength="100" gradient="0">
              <x14:cfvo type="num">
                <xm:f>0</xm:f>
              </x14:cfvo>
              <x14:cfvo type="num">
                <xm:f>1</xm:f>
              </x14:cfvo>
              <x14:negativeFillColor rgb="FFFF0000"/>
              <x14:axisColor rgb="FF000000"/>
            </x14:dataBar>
          </x14:cfRule>
          <xm:sqref>D209</xm:sqref>
        </x14:conditionalFormatting>
        <x14:conditionalFormatting xmlns:xm="http://schemas.microsoft.com/office/excel/2006/main">
          <x14:cfRule type="dataBar" id="{5B2805D5-4872-4E28-8957-96033D188E3E}">
            <x14:dataBar minLength="0" maxLength="100" gradient="0">
              <x14:cfvo type="num">
                <xm:f>0</xm:f>
              </x14:cfvo>
              <x14:cfvo type="num">
                <xm:f>1</xm:f>
              </x14:cfvo>
              <x14:negativeFillColor rgb="FFFF0000"/>
              <x14:axisColor rgb="FF000000"/>
            </x14:dataBar>
          </x14:cfRule>
          <xm:sqref>D208</xm:sqref>
        </x14:conditionalFormatting>
        <x14:conditionalFormatting xmlns:xm="http://schemas.microsoft.com/office/excel/2006/main">
          <x14:cfRule type="dataBar" id="{7C876D5B-C26F-4996-B8AC-8830BC658732}">
            <x14:dataBar minLength="0" maxLength="100" gradient="0">
              <x14:cfvo type="num">
                <xm:f>0</xm:f>
              </x14:cfvo>
              <x14:cfvo type="num">
                <xm:f>1</xm:f>
              </x14:cfvo>
              <x14:negativeFillColor rgb="FFFF0000"/>
              <x14:axisColor rgb="FF000000"/>
            </x14:dataBar>
          </x14:cfRule>
          <xm:sqref>D210</xm:sqref>
        </x14:conditionalFormatting>
        <x14:conditionalFormatting xmlns:xm="http://schemas.microsoft.com/office/excel/2006/main">
          <x14:cfRule type="dataBar" id="{F6A1F65E-6919-4D7A-9C5A-BE3871F9C96D}">
            <x14:dataBar minLength="0" maxLength="100" gradient="0">
              <x14:cfvo type="num">
                <xm:f>0</xm:f>
              </x14:cfvo>
              <x14:cfvo type="num">
                <xm:f>1</xm:f>
              </x14:cfvo>
              <x14:negativeFillColor rgb="FFFF0000"/>
              <x14:axisColor rgb="FF000000"/>
            </x14:dataBar>
          </x14:cfRule>
          <xm:sqref>D211</xm:sqref>
        </x14:conditionalFormatting>
        <x14:conditionalFormatting xmlns:xm="http://schemas.microsoft.com/office/excel/2006/main">
          <x14:cfRule type="dataBar" id="{96A2C161-B3CB-49C9-933F-30C180B16EDA}">
            <x14:dataBar minLength="0" maxLength="100" gradient="0">
              <x14:cfvo type="num">
                <xm:f>0</xm:f>
              </x14:cfvo>
              <x14:cfvo type="num">
                <xm:f>1</xm:f>
              </x14:cfvo>
              <x14:negativeFillColor rgb="FFFF0000"/>
              <x14:axisColor rgb="FF000000"/>
            </x14:dataBar>
          </x14:cfRule>
          <xm:sqref>D213</xm:sqref>
        </x14:conditionalFormatting>
        <x14:conditionalFormatting xmlns:xm="http://schemas.microsoft.com/office/excel/2006/main">
          <x14:cfRule type="dataBar" id="{95DBE63F-5F64-4A91-A75B-5F8E0984460B}">
            <x14:dataBar minLength="0" maxLength="100" gradient="0">
              <x14:cfvo type="num">
                <xm:f>0</xm:f>
              </x14:cfvo>
              <x14:cfvo type="num">
                <xm:f>1</xm:f>
              </x14:cfvo>
              <x14:negativeFillColor rgb="FFFF0000"/>
              <x14:axisColor rgb="FF000000"/>
            </x14:dataBar>
          </x14:cfRule>
          <xm:sqref>D212</xm:sqref>
        </x14:conditionalFormatting>
        <x14:conditionalFormatting xmlns:xm="http://schemas.microsoft.com/office/excel/2006/main">
          <x14:cfRule type="dataBar" id="{423E493E-0BA4-4815-A235-703C434F500B}">
            <x14:dataBar minLength="0" maxLength="100" gradient="0">
              <x14:cfvo type="num">
                <xm:f>0</xm:f>
              </x14:cfvo>
              <x14:cfvo type="num">
                <xm:f>1</xm:f>
              </x14:cfvo>
              <x14:negativeFillColor rgb="FFFF0000"/>
              <x14:axisColor rgb="FF000000"/>
            </x14:dataBar>
          </x14:cfRule>
          <xm:sqref>D214</xm:sqref>
        </x14:conditionalFormatting>
        <x14:conditionalFormatting xmlns:xm="http://schemas.microsoft.com/office/excel/2006/main">
          <x14:cfRule type="dataBar" id="{E426BA98-C923-4606-BE56-D9CA853B3DF3}">
            <x14:dataBar minLength="0" maxLength="100" gradient="0">
              <x14:cfvo type="num">
                <xm:f>0</xm:f>
              </x14:cfvo>
              <x14:cfvo type="num">
                <xm:f>1</xm:f>
              </x14:cfvo>
              <x14:negativeFillColor rgb="FFFF0000"/>
              <x14:axisColor rgb="FF000000"/>
            </x14:dataBar>
          </x14:cfRule>
          <xm:sqref>D216</xm:sqref>
        </x14:conditionalFormatting>
        <x14:conditionalFormatting xmlns:xm="http://schemas.microsoft.com/office/excel/2006/main">
          <x14:cfRule type="dataBar" id="{D360F248-01A1-4858-9C43-63B92ADD3903}">
            <x14:dataBar minLength="0" maxLength="100" gradient="0">
              <x14:cfvo type="num">
                <xm:f>0</xm:f>
              </x14:cfvo>
              <x14:cfvo type="num">
                <xm:f>1</xm:f>
              </x14:cfvo>
              <x14:negativeFillColor rgb="FFFF0000"/>
              <x14:axisColor rgb="FF000000"/>
            </x14:dataBar>
          </x14:cfRule>
          <xm:sqref>D215</xm:sqref>
        </x14:conditionalFormatting>
        <x14:conditionalFormatting xmlns:xm="http://schemas.microsoft.com/office/excel/2006/main">
          <x14:cfRule type="dataBar" id="{CDEAD854-A43D-4BF3-A0A4-F84DB28B9555}">
            <x14:dataBar minLength="0" maxLength="100" gradient="0">
              <x14:cfvo type="num">
                <xm:f>0</xm:f>
              </x14:cfvo>
              <x14:cfvo type="num">
                <xm:f>1</xm:f>
              </x14:cfvo>
              <x14:negativeFillColor rgb="FFFF0000"/>
              <x14:axisColor rgb="FF000000"/>
            </x14:dataBar>
          </x14:cfRule>
          <xm:sqref>D217</xm:sqref>
        </x14:conditionalFormatting>
        <x14:conditionalFormatting xmlns:xm="http://schemas.microsoft.com/office/excel/2006/main">
          <x14:cfRule type="dataBar" id="{D27CF016-A982-48F7-8C21-2A0B40BE4091}">
            <x14:dataBar minLength="0" maxLength="100" gradient="0">
              <x14:cfvo type="num">
                <xm:f>0</xm:f>
              </x14:cfvo>
              <x14:cfvo type="num">
                <xm:f>1</xm:f>
              </x14:cfvo>
              <x14:negativeFillColor rgb="FFFF0000"/>
              <x14:axisColor rgb="FF000000"/>
            </x14:dataBar>
          </x14:cfRule>
          <xm:sqref>D219</xm:sqref>
        </x14:conditionalFormatting>
        <x14:conditionalFormatting xmlns:xm="http://schemas.microsoft.com/office/excel/2006/main">
          <x14:cfRule type="dataBar" id="{8E07DEE4-A81C-4FDD-B91D-888B0112DA7A}">
            <x14:dataBar minLength="0" maxLength="100" gradient="0">
              <x14:cfvo type="num">
                <xm:f>0</xm:f>
              </x14:cfvo>
              <x14:cfvo type="num">
                <xm:f>1</xm:f>
              </x14:cfvo>
              <x14:negativeFillColor rgb="FFFF0000"/>
              <x14:axisColor rgb="FF000000"/>
            </x14:dataBar>
          </x14:cfRule>
          <xm:sqref>D218</xm:sqref>
        </x14:conditionalFormatting>
        <x14:conditionalFormatting xmlns:xm="http://schemas.microsoft.com/office/excel/2006/main">
          <x14:cfRule type="dataBar" id="{0389C43F-2D25-496E-904A-69435C7BE24F}">
            <x14:dataBar minLength="0" maxLength="100" gradient="0">
              <x14:cfvo type="num">
                <xm:f>0</xm:f>
              </x14:cfvo>
              <x14:cfvo type="num">
                <xm:f>1</xm:f>
              </x14:cfvo>
              <x14:negativeFillColor rgb="FFFF0000"/>
              <x14:axisColor rgb="FF000000"/>
            </x14:dataBar>
          </x14:cfRule>
          <xm:sqref>D220</xm:sqref>
        </x14:conditionalFormatting>
        <x14:conditionalFormatting xmlns:xm="http://schemas.microsoft.com/office/excel/2006/main">
          <x14:cfRule type="dataBar" id="{B53BE1F1-6B56-4672-B602-7F02A3EC780D}">
            <x14:dataBar minLength="0" maxLength="100" gradient="0">
              <x14:cfvo type="num">
                <xm:f>0</xm:f>
              </x14:cfvo>
              <x14:cfvo type="num">
                <xm:f>1</xm:f>
              </x14:cfvo>
              <x14:negativeFillColor rgb="FFFF0000"/>
              <x14:axisColor rgb="FF000000"/>
            </x14:dataBar>
          </x14:cfRule>
          <xm:sqref>D222</xm:sqref>
        </x14:conditionalFormatting>
        <x14:conditionalFormatting xmlns:xm="http://schemas.microsoft.com/office/excel/2006/main">
          <x14:cfRule type="dataBar" id="{A51F33E6-4083-48DF-8E61-0D836CDA5395}">
            <x14:dataBar minLength="0" maxLength="100" gradient="0">
              <x14:cfvo type="num">
                <xm:f>0</xm:f>
              </x14:cfvo>
              <x14:cfvo type="num">
                <xm:f>1</xm:f>
              </x14:cfvo>
              <x14:negativeFillColor rgb="FFFF0000"/>
              <x14:axisColor rgb="FF000000"/>
            </x14:dataBar>
          </x14:cfRule>
          <xm:sqref>D221</xm:sqref>
        </x14:conditionalFormatting>
        <x14:conditionalFormatting xmlns:xm="http://schemas.microsoft.com/office/excel/2006/main">
          <x14:cfRule type="dataBar" id="{81A0C471-9B74-4AE3-94D1-54250C4FEB25}">
            <x14:dataBar minLength="0" maxLength="100" gradient="0">
              <x14:cfvo type="num">
                <xm:f>0</xm:f>
              </x14:cfvo>
              <x14:cfvo type="num">
                <xm:f>1</xm:f>
              </x14:cfvo>
              <x14:negativeFillColor rgb="FFFF0000"/>
              <x14:axisColor rgb="FF000000"/>
            </x14:dataBar>
          </x14:cfRule>
          <xm:sqref>D223</xm:sqref>
        </x14:conditionalFormatting>
        <x14:conditionalFormatting xmlns:xm="http://schemas.microsoft.com/office/excel/2006/main">
          <x14:cfRule type="dataBar" id="{E0C14D7C-5A32-4F53-ABF9-9DCA1B837A42}">
            <x14:dataBar minLength="0" maxLength="100" gradient="0">
              <x14:cfvo type="num">
                <xm:f>0</xm:f>
              </x14:cfvo>
              <x14:cfvo type="num">
                <xm:f>1</xm:f>
              </x14:cfvo>
              <x14:negativeFillColor rgb="FFFF0000"/>
              <x14:axisColor rgb="FF000000"/>
            </x14:dataBar>
          </x14:cfRule>
          <xm:sqref>D225</xm:sqref>
        </x14:conditionalFormatting>
        <x14:conditionalFormatting xmlns:xm="http://schemas.microsoft.com/office/excel/2006/main">
          <x14:cfRule type="dataBar" id="{063407D0-1629-451B-93ED-6CABCE5A483C}">
            <x14:dataBar minLength="0" maxLength="100" gradient="0">
              <x14:cfvo type="num">
                <xm:f>0</xm:f>
              </x14:cfvo>
              <x14:cfvo type="num">
                <xm:f>1</xm:f>
              </x14:cfvo>
              <x14:negativeFillColor rgb="FFFF0000"/>
              <x14:axisColor rgb="FF000000"/>
            </x14:dataBar>
          </x14:cfRule>
          <xm:sqref>D224</xm:sqref>
        </x14:conditionalFormatting>
        <x14:conditionalFormatting xmlns:xm="http://schemas.microsoft.com/office/excel/2006/main">
          <x14:cfRule type="dataBar" id="{A7D6BBE5-9F72-4E65-ABE7-C567DA0F4B04}">
            <x14:dataBar minLength="0" maxLength="100" gradient="0">
              <x14:cfvo type="num">
                <xm:f>0</xm:f>
              </x14:cfvo>
              <x14:cfvo type="num">
                <xm:f>1</xm:f>
              </x14:cfvo>
              <x14:negativeFillColor rgb="FFFF0000"/>
              <x14:axisColor rgb="FF000000"/>
            </x14:dataBar>
          </x14:cfRule>
          <xm:sqref>D226</xm:sqref>
        </x14:conditionalFormatting>
        <x14:conditionalFormatting xmlns:xm="http://schemas.microsoft.com/office/excel/2006/main">
          <x14:cfRule type="dataBar" id="{415C21F2-5059-49C1-BA8D-473DFA29EE51}">
            <x14:dataBar minLength="0" maxLength="100" gradient="0">
              <x14:cfvo type="num">
                <xm:f>0</xm:f>
              </x14:cfvo>
              <x14:cfvo type="num">
                <xm:f>1</xm:f>
              </x14:cfvo>
              <x14:negativeFillColor rgb="FFFF0000"/>
              <x14:axisColor rgb="FF000000"/>
            </x14:dataBar>
          </x14:cfRule>
          <xm:sqref>D231</xm:sqref>
        </x14:conditionalFormatting>
        <x14:conditionalFormatting xmlns:xm="http://schemas.microsoft.com/office/excel/2006/main">
          <x14:cfRule type="dataBar" id="{721B2E3E-5BCA-4806-885E-03786114058A}">
            <x14:dataBar minLength="0" maxLength="100" gradient="0">
              <x14:cfvo type="num">
                <xm:f>0</xm:f>
              </x14:cfvo>
              <x14:cfvo type="num">
                <xm:f>1</xm:f>
              </x14:cfvo>
              <x14:negativeFillColor rgb="FFFF0000"/>
              <x14:axisColor rgb="FF000000"/>
            </x14:dataBar>
          </x14:cfRule>
          <xm:sqref>D230</xm:sqref>
        </x14:conditionalFormatting>
        <x14:conditionalFormatting xmlns:xm="http://schemas.microsoft.com/office/excel/2006/main">
          <x14:cfRule type="dataBar" id="{3A518903-A3DE-4A9A-A7A7-03C684D56BBA}">
            <x14:dataBar minLength="0" maxLength="100" gradient="0">
              <x14:cfvo type="num">
                <xm:f>0</xm:f>
              </x14:cfvo>
              <x14:cfvo type="num">
                <xm:f>1</xm:f>
              </x14:cfvo>
              <x14:negativeFillColor rgb="FFFF0000"/>
              <x14:axisColor rgb="FF000000"/>
            </x14:dataBar>
          </x14:cfRule>
          <xm:sqref>D232</xm:sqref>
        </x14:conditionalFormatting>
        <x14:conditionalFormatting xmlns:xm="http://schemas.microsoft.com/office/excel/2006/main">
          <x14:cfRule type="dataBar" id="{B69ACDBE-700D-4AEC-837C-1B7411F4632B}">
            <x14:dataBar minLength="0" maxLength="100" gradient="0">
              <x14:cfvo type="num">
                <xm:f>0</xm:f>
              </x14:cfvo>
              <x14:cfvo type="num">
                <xm:f>1</xm:f>
              </x14:cfvo>
              <x14:negativeFillColor rgb="FFFF0000"/>
              <x14:axisColor rgb="FF000000"/>
            </x14:dataBar>
          </x14:cfRule>
          <xm:sqref>D234</xm:sqref>
        </x14:conditionalFormatting>
        <x14:conditionalFormatting xmlns:xm="http://schemas.microsoft.com/office/excel/2006/main">
          <x14:cfRule type="dataBar" id="{DE5567E8-CB66-4038-BA2B-D169AAAD83F8}">
            <x14:dataBar minLength="0" maxLength="100" gradient="0">
              <x14:cfvo type="num">
                <xm:f>0</xm:f>
              </x14:cfvo>
              <x14:cfvo type="num">
                <xm:f>1</xm:f>
              </x14:cfvo>
              <x14:negativeFillColor rgb="FFFF0000"/>
              <x14:axisColor rgb="FF000000"/>
            </x14:dataBar>
          </x14:cfRule>
          <xm:sqref>D233</xm:sqref>
        </x14:conditionalFormatting>
        <x14:conditionalFormatting xmlns:xm="http://schemas.microsoft.com/office/excel/2006/main">
          <x14:cfRule type="dataBar" id="{F6D40B49-A534-497A-B0CC-F2B0B218040F}">
            <x14:dataBar minLength="0" maxLength="100" gradient="0">
              <x14:cfvo type="num">
                <xm:f>0</xm:f>
              </x14:cfvo>
              <x14:cfvo type="num">
                <xm:f>1</xm:f>
              </x14:cfvo>
              <x14:negativeFillColor rgb="FFFF0000"/>
              <x14:axisColor rgb="FF000000"/>
            </x14:dataBar>
          </x14:cfRule>
          <xm:sqref>D235</xm:sqref>
        </x14:conditionalFormatting>
        <x14:conditionalFormatting xmlns:xm="http://schemas.microsoft.com/office/excel/2006/main">
          <x14:cfRule type="dataBar" id="{557DBBF0-D027-47D8-98DB-8A7407856B9B}">
            <x14:dataBar minLength="0" maxLength="100" gradient="0">
              <x14:cfvo type="num">
                <xm:f>0</xm:f>
              </x14:cfvo>
              <x14:cfvo type="num">
                <xm:f>1</xm:f>
              </x14:cfvo>
              <x14:negativeFillColor rgb="FFFF0000"/>
              <x14:axisColor rgb="FF000000"/>
            </x14:dataBar>
          </x14:cfRule>
          <xm:sqref>D237</xm:sqref>
        </x14:conditionalFormatting>
        <x14:conditionalFormatting xmlns:xm="http://schemas.microsoft.com/office/excel/2006/main">
          <x14:cfRule type="dataBar" id="{F1CD845A-BB07-4210-83B3-919F55B2838B}">
            <x14:dataBar minLength="0" maxLength="100" gradient="0">
              <x14:cfvo type="num">
                <xm:f>0</xm:f>
              </x14:cfvo>
              <x14:cfvo type="num">
                <xm:f>1</xm:f>
              </x14:cfvo>
              <x14:negativeFillColor rgb="FFFF0000"/>
              <x14:axisColor rgb="FF000000"/>
            </x14:dataBar>
          </x14:cfRule>
          <xm:sqref>D236</xm:sqref>
        </x14:conditionalFormatting>
        <x14:conditionalFormatting xmlns:xm="http://schemas.microsoft.com/office/excel/2006/main">
          <x14:cfRule type="dataBar" id="{67B0E7F8-CD84-42A9-A3B8-B94FEA79FDBC}">
            <x14:dataBar minLength="0" maxLength="100" gradient="0">
              <x14:cfvo type="num">
                <xm:f>0</xm:f>
              </x14:cfvo>
              <x14:cfvo type="num">
                <xm:f>1</xm:f>
              </x14:cfvo>
              <x14:negativeFillColor rgb="FFFF0000"/>
              <x14:axisColor rgb="FF000000"/>
            </x14:dataBar>
          </x14:cfRule>
          <xm:sqref>D238</xm:sqref>
        </x14:conditionalFormatting>
        <x14:conditionalFormatting xmlns:xm="http://schemas.microsoft.com/office/excel/2006/main">
          <x14:cfRule type="dataBar" id="{C17C5A26-57DC-43AB-908A-CD4B3E171EB3}">
            <x14:dataBar minLength="0" maxLength="100" gradient="0">
              <x14:cfvo type="num">
                <xm:f>0</xm:f>
              </x14:cfvo>
              <x14:cfvo type="num">
                <xm:f>1</xm:f>
              </x14:cfvo>
              <x14:negativeFillColor rgb="FFFF0000"/>
              <x14:axisColor rgb="FF000000"/>
            </x14:dataBar>
          </x14:cfRule>
          <xm:sqref>D240</xm:sqref>
        </x14:conditionalFormatting>
        <x14:conditionalFormatting xmlns:xm="http://schemas.microsoft.com/office/excel/2006/main">
          <x14:cfRule type="dataBar" id="{D873A296-C12A-4ED7-BAC3-EDE75235B4CA}">
            <x14:dataBar minLength="0" maxLength="100" gradient="0">
              <x14:cfvo type="num">
                <xm:f>0</xm:f>
              </x14:cfvo>
              <x14:cfvo type="num">
                <xm:f>1</xm:f>
              </x14:cfvo>
              <x14:negativeFillColor rgb="FFFF0000"/>
              <x14:axisColor rgb="FF000000"/>
            </x14:dataBar>
          </x14:cfRule>
          <xm:sqref>D239</xm:sqref>
        </x14:conditionalFormatting>
        <x14:conditionalFormatting xmlns:xm="http://schemas.microsoft.com/office/excel/2006/main">
          <x14:cfRule type="dataBar" id="{63A45EEB-24CC-4C70-BA73-6197219A7E7F}">
            <x14:dataBar minLength="0" maxLength="100" gradient="0">
              <x14:cfvo type="num">
                <xm:f>0</xm:f>
              </x14:cfvo>
              <x14:cfvo type="num">
                <xm:f>1</xm:f>
              </x14:cfvo>
              <x14:negativeFillColor rgb="FFFF0000"/>
              <x14:axisColor rgb="FF000000"/>
            </x14:dataBar>
          </x14:cfRule>
          <xm:sqref>D241</xm:sqref>
        </x14:conditionalFormatting>
        <x14:conditionalFormatting xmlns:xm="http://schemas.microsoft.com/office/excel/2006/main">
          <x14:cfRule type="dataBar" id="{093EA524-A93B-41E7-8F32-FEC3C8BCDA0E}">
            <x14:dataBar minLength="0" maxLength="100" gradient="0">
              <x14:cfvo type="num">
                <xm:f>0</xm:f>
              </x14:cfvo>
              <x14:cfvo type="num">
                <xm:f>1</xm:f>
              </x14:cfvo>
              <x14:negativeFillColor rgb="FFFF0000"/>
              <x14:axisColor rgb="FF000000"/>
            </x14:dataBar>
          </x14:cfRule>
          <xm:sqref>D243</xm:sqref>
        </x14:conditionalFormatting>
        <x14:conditionalFormatting xmlns:xm="http://schemas.microsoft.com/office/excel/2006/main">
          <x14:cfRule type="dataBar" id="{9817AF3F-1E5F-40E5-91A0-64D57DB97DD1}">
            <x14:dataBar minLength="0" maxLength="100" gradient="0">
              <x14:cfvo type="num">
                <xm:f>0</xm:f>
              </x14:cfvo>
              <x14:cfvo type="num">
                <xm:f>1</xm:f>
              </x14:cfvo>
              <x14:negativeFillColor rgb="FFFF0000"/>
              <x14:axisColor rgb="FF000000"/>
            </x14:dataBar>
          </x14:cfRule>
          <xm:sqref>D242</xm:sqref>
        </x14:conditionalFormatting>
        <x14:conditionalFormatting xmlns:xm="http://schemas.microsoft.com/office/excel/2006/main">
          <x14:cfRule type="dataBar" id="{81E3A1C8-ECC7-401E-A79B-89FE1274FFC3}">
            <x14:dataBar minLength="0" maxLength="100" gradient="0">
              <x14:cfvo type="num">
                <xm:f>0</xm:f>
              </x14:cfvo>
              <x14:cfvo type="num">
                <xm:f>1</xm:f>
              </x14:cfvo>
              <x14:negativeFillColor rgb="FFFF0000"/>
              <x14:axisColor rgb="FF000000"/>
            </x14:dataBar>
          </x14:cfRule>
          <xm:sqref>D244</xm:sqref>
        </x14:conditionalFormatting>
        <x14:conditionalFormatting xmlns:xm="http://schemas.microsoft.com/office/excel/2006/main">
          <x14:cfRule type="dataBar" id="{7E321A92-2582-4C0B-A9F9-3509E9DC4F79}">
            <x14:dataBar minLength="0" maxLength="100" gradient="0">
              <x14:cfvo type="num">
                <xm:f>0</xm:f>
              </x14:cfvo>
              <x14:cfvo type="num">
                <xm:f>1</xm:f>
              </x14:cfvo>
              <x14:negativeFillColor rgb="FFFF0000"/>
              <x14:axisColor rgb="FF000000"/>
            </x14:dataBar>
          </x14:cfRule>
          <xm:sqref>D246</xm:sqref>
        </x14:conditionalFormatting>
        <x14:conditionalFormatting xmlns:xm="http://schemas.microsoft.com/office/excel/2006/main">
          <x14:cfRule type="dataBar" id="{7AD55B82-BBE8-4AEA-A7F6-53C6F805677F}">
            <x14:dataBar minLength="0" maxLength="100" gradient="0">
              <x14:cfvo type="num">
                <xm:f>0</xm:f>
              </x14:cfvo>
              <x14:cfvo type="num">
                <xm:f>1</xm:f>
              </x14:cfvo>
              <x14:negativeFillColor rgb="FFFF0000"/>
              <x14:axisColor rgb="FF000000"/>
            </x14:dataBar>
          </x14:cfRule>
          <xm:sqref>D245</xm:sqref>
        </x14:conditionalFormatting>
        <x14:conditionalFormatting xmlns:xm="http://schemas.microsoft.com/office/excel/2006/main">
          <x14:cfRule type="dataBar" id="{05603C8E-F32A-4416-A667-271E3E598BC9}">
            <x14:dataBar minLength="0" maxLength="100" gradient="0">
              <x14:cfvo type="num">
                <xm:f>0</xm:f>
              </x14:cfvo>
              <x14:cfvo type="num">
                <xm:f>1</xm:f>
              </x14:cfvo>
              <x14:negativeFillColor rgb="FFFF0000"/>
              <x14:axisColor rgb="FF000000"/>
            </x14:dataBar>
          </x14:cfRule>
          <xm:sqref>D247</xm:sqref>
        </x14:conditionalFormatting>
        <x14:conditionalFormatting xmlns:xm="http://schemas.microsoft.com/office/excel/2006/main">
          <x14:cfRule type="dataBar" id="{35A03A4D-5C0F-4D17-9B82-2C1807F28736}">
            <x14:dataBar minLength="0" maxLength="100" gradient="0">
              <x14:cfvo type="num">
                <xm:f>0</xm:f>
              </x14:cfvo>
              <x14:cfvo type="num">
                <xm:f>1</xm:f>
              </x14:cfvo>
              <x14:negativeFillColor rgb="FFFF0000"/>
              <x14:axisColor rgb="FF000000"/>
            </x14:dataBar>
          </x14:cfRule>
          <xm:sqref>D248</xm:sqref>
        </x14:conditionalFormatting>
        <x14:conditionalFormatting xmlns:xm="http://schemas.microsoft.com/office/excel/2006/main">
          <x14:cfRule type="dataBar" id="{89F39A3E-FB75-4200-8E6C-13365469E824}">
            <x14:dataBar minLength="0" maxLength="100" gradient="0">
              <x14:cfvo type="num">
                <xm:f>0</xm:f>
              </x14:cfvo>
              <x14:cfvo type="num">
                <xm:f>1</xm:f>
              </x14:cfvo>
              <x14:negativeFillColor rgb="FFFF0000"/>
              <x14:axisColor rgb="FF000000"/>
            </x14:dataBar>
          </x14:cfRule>
          <xm:sqref>D250</xm:sqref>
        </x14:conditionalFormatting>
        <x14:conditionalFormatting xmlns:xm="http://schemas.microsoft.com/office/excel/2006/main">
          <x14:cfRule type="dataBar" id="{8236C168-07DA-473D-99E6-3A657EECE6D6}">
            <x14:dataBar minLength="0" maxLength="100" gradient="0">
              <x14:cfvo type="num">
                <xm:f>0</xm:f>
              </x14:cfvo>
              <x14:cfvo type="num">
                <xm:f>1</xm:f>
              </x14:cfvo>
              <x14:negativeFillColor rgb="FFFF0000"/>
              <x14:axisColor rgb="FF000000"/>
            </x14:dataBar>
          </x14:cfRule>
          <xm:sqref>D249</xm:sqref>
        </x14:conditionalFormatting>
        <x14:conditionalFormatting xmlns:xm="http://schemas.microsoft.com/office/excel/2006/main">
          <x14:cfRule type="dataBar" id="{C22BF216-B1F7-445B-8EFD-9E234C75FC26}">
            <x14:dataBar minLength="0" maxLength="100" gradient="0">
              <x14:cfvo type="num">
                <xm:f>0</xm:f>
              </x14:cfvo>
              <x14:cfvo type="num">
                <xm:f>1</xm:f>
              </x14:cfvo>
              <x14:negativeFillColor rgb="FFFF0000"/>
              <x14:axisColor rgb="FF000000"/>
            </x14:dataBar>
          </x14:cfRule>
          <xm:sqref>D148</xm:sqref>
        </x14:conditionalFormatting>
        <x14:conditionalFormatting xmlns:xm="http://schemas.microsoft.com/office/excel/2006/main">
          <x14:cfRule type="dataBar" id="{A3C73A2C-8F63-4150-9C06-9405C3E0D633}">
            <x14:dataBar minLength="0" maxLength="100" gradient="0">
              <x14:cfvo type="num">
                <xm:f>0</xm:f>
              </x14:cfvo>
              <x14:cfvo type="num">
                <xm:f>1</xm:f>
              </x14:cfvo>
              <x14:negativeFillColor rgb="FFFF0000"/>
              <x14:axisColor rgb="FF000000"/>
            </x14:dataBar>
          </x14:cfRule>
          <xm:sqref>D150</xm:sqref>
        </x14:conditionalFormatting>
        <x14:conditionalFormatting xmlns:xm="http://schemas.microsoft.com/office/excel/2006/main">
          <x14:cfRule type="dataBar" id="{F63552F5-153B-4D70-8C45-E2447D618B6E}">
            <x14:dataBar minLength="0" maxLength="100" gradient="0">
              <x14:cfvo type="num">
                <xm:f>0</xm:f>
              </x14:cfvo>
              <x14:cfvo type="num">
                <xm:f>1</xm:f>
              </x14:cfvo>
              <x14:negativeFillColor rgb="FFFF0000"/>
              <x14:axisColor rgb="FF000000"/>
            </x14:dataBar>
          </x14:cfRule>
          <xm:sqref>D149</xm:sqref>
        </x14:conditionalFormatting>
        <x14:conditionalFormatting xmlns:xm="http://schemas.microsoft.com/office/excel/2006/main">
          <x14:cfRule type="dataBar" id="{FB2CA98D-61CF-49DD-8E33-0B1174047629}">
            <x14:dataBar minLength="0" maxLength="100" gradient="0">
              <x14:cfvo type="num">
                <xm:f>0</xm:f>
              </x14:cfvo>
              <x14:cfvo type="num">
                <xm:f>1</xm:f>
              </x14:cfvo>
              <x14:negativeFillColor rgb="FFFF0000"/>
              <x14:axisColor rgb="FF000000"/>
            </x14:dataBar>
          </x14:cfRule>
          <xm:sqref>D151</xm:sqref>
        </x14:conditionalFormatting>
        <x14:conditionalFormatting xmlns:xm="http://schemas.microsoft.com/office/excel/2006/main">
          <x14:cfRule type="dataBar" id="{77CEF662-CC04-42DC-9750-1B2241CCB241}">
            <x14:dataBar minLength="0" maxLength="100" gradient="0">
              <x14:cfvo type="num">
                <xm:f>0</xm:f>
              </x14:cfvo>
              <x14:cfvo type="num">
                <xm:f>1</xm:f>
              </x14:cfvo>
              <x14:negativeFillColor rgb="FFFF0000"/>
              <x14:axisColor rgb="FF000000"/>
            </x14:dataBar>
          </x14:cfRule>
          <xm:sqref>D152</xm:sqref>
        </x14:conditionalFormatting>
        <x14:conditionalFormatting xmlns:xm="http://schemas.microsoft.com/office/excel/2006/main">
          <x14:cfRule type="dataBar" id="{B6B71966-F671-4649-A34D-3566F4DEE7E9}">
            <x14:dataBar minLength="0" maxLength="100" gradient="0">
              <x14:cfvo type="num">
                <xm:f>0</xm:f>
              </x14:cfvo>
              <x14:cfvo type="num">
                <xm:f>1</xm:f>
              </x14:cfvo>
              <x14:negativeFillColor rgb="FFFF0000"/>
              <x14:axisColor rgb="FF000000"/>
            </x14:dataBar>
          </x14:cfRule>
          <xm:sqref>D156</xm:sqref>
        </x14:conditionalFormatting>
        <x14:conditionalFormatting xmlns:xm="http://schemas.microsoft.com/office/excel/2006/main">
          <x14:cfRule type="dataBar" id="{6FA114EF-F743-4DDF-8319-5A6ADBC04028}">
            <x14:dataBar minLength="0" maxLength="100" gradient="0">
              <x14:cfvo type="num">
                <xm:f>0</xm:f>
              </x14:cfvo>
              <x14:cfvo type="num">
                <xm:f>1</xm:f>
              </x14:cfvo>
              <x14:negativeFillColor rgb="FFFF0000"/>
              <x14:axisColor rgb="FF000000"/>
            </x14:dataBar>
          </x14:cfRule>
          <xm:sqref>D155</xm:sqref>
        </x14:conditionalFormatting>
        <x14:conditionalFormatting xmlns:xm="http://schemas.microsoft.com/office/excel/2006/main">
          <x14:cfRule type="dataBar" id="{D7A08F8B-9727-47EC-9192-05D60EEB7A6D}">
            <x14:dataBar minLength="0" maxLength="100" gradient="0">
              <x14:cfvo type="num">
                <xm:f>0</xm:f>
              </x14:cfvo>
              <x14:cfvo type="num">
                <xm:f>1</xm:f>
              </x14:cfvo>
              <x14:negativeFillColor rgb="FFFF0000"/>
              <x14:axisColor rgb="FF000000"/>
            </x14:dataBar>
          </x14:cfRule>
          <xm:sqref>D157</xm:sqref>
        </x14:conditionalFormatting>
        <x14:conditionalFormatting xmlns:xm="http://schemas.microsoft.com/office/excel/2006/main">
          <x14:cfRule type="dataBar" id="{3F18F9E0-7BB3-40FD-B65B-6195BCECCB1F}">
            <x14:dataBar minLength="0" maxLength="100" gradient="0">
              <x14:cfvo type="num">
                <xm:f>0</xm:f>
              </x14:cfvo>
              <x14:cfvo type="num">
                <xm:f>1</xm:f>
              </x14:cfvo>
              <x14:negativeFillColor rgb="FFFF0000"/>
              <x14:axisColor rgb="FF000000"/>
            </x14:dataBar>
          </x14:cfRule>
          <xm:sqref>D158</xm:sqref>
        </x14:conditionalFormatting>
        <x14:conditionalFormatting xmlns:xm="http://schemas.microsoft.com/office/excel/2006/main">
          <x14:cfRule type="dataBar" id="{01EE4342-C55D-4A0A-848D-A35AC7DE1B79}">
            <x14:dataBar minLength="0" maxLength="100" gradient="0">
              <x14:cfvo type="num">
                <xm:f>0</xm:f>
              </x14:cfvo>
              <x14:cfvo type="num">
                <xm:f>1</xm:f>
              </x14:cfvo>
              <x14:negativeFillColor rgb="FFFF0000"/>
              <x14:axisColor rgb="FF000000"/>
            </x14:dataBar>
          </x14:cfRule>
          <xm:sqref>D153</xm:sqref>
        </x14:conditionalFormatting>
        <x14:conditionalFormatting xmlns:xm="http://schemas.microsoft.com/office/excel/2006/main">
          <x14:cfRule type="dataBar" id="{BA11624C-DA0C-4FF5-BB0D-93D490DB053D}">
            <x14:dataBar minLength="0" maxLength="100" gradient="0">
              <x14:cfvo type="num">
                <xm:f>0</xm:f>
              </x14:cfvo>
              <x14:cfvo type="num">
                <xm:f>1</xm:f>
              </x14:cfvo>
              <x14:negativeFillColor rgb="FFFF0000"/>
              <x14:axisColor rgb="FF000000"/>
            </x14:dataBar>
          </x14:cfRule>
          <xm:sqref>D159</xm:sqref>
        </x14:conditionalFormatting>
        <x14:conditionalFormatting xmlns:xm="http://schemas.microsoft.com/office/excel/2006/main">
          <x14:cfRule type="dataBar" id="{C5E0E114-7228-4E5F-B6C8-29C1BE043DAA}">
            <x14:dataBar minLength="0" maxLength="100" gradient="0">
              <x14:cfvo type="num">
                <xm:f>0</xm:f>
              </x14:cfvo>
              <x14:cfvo type="num">
                <xm:f>1</xm:f>
              </x14:cfvo>
              <x14:negativeFillColor rgb="FFFF0000"/>
              <x14:axisColor rgb="FF000000"/>
            </x14:dataBar>
          </x14:cfRule>
          <xm:sqref>D154</xm:sqref>
        </x14:conditionalFormatting>
        <x14:conditionalFormatting xmlns:xm="http://schemas.microsoft.com/office/excel/2006/main">
          <x14:cfRule type="dataBar" id="{3E3EA41F-0C19-43BD-8414-21CF841E88B2}">
            <x14:dataBar minLength="0" maxLength="100" gradient="0">
              <x14:cfvo type="num">
                <xm:f>0</xm:f>
              </x14:cfvo>
              <x14:cfvo type="num">
                <xm:f>1</xm:f>
              </x14:cfvo>
              <x14:negativeFillColor rgb="FFFF0000"/>
              <x14:axisColor rgb="FF000000"/>
            </x14:dataBar>
          </x14:cfRule>
          <xm:sqref>D160</xm:sqref>
        </x14:conditionalFormatting>
        <x14:conditionalFormatting xmlns:xm="http://schemas.microsoft.com/office/excel/2006/main">
          <x14:cfRule type="dataBar" id="{42CC71CE-A3D1-4168-9AF4-15EB00108095}">
            <x14:dataBar minLength="0" maxLength="100" gradient="0">
              <x14:cfvo type="num">
                <xm:f>0</xm:f>
              </x14:cfvo>
              <x14:cfvo type="num">
                <xm:f>1</xm:f>
              </x14:cfvo>
              <x14:negativeFillColor rgb="FFFF0000"/>
              <x14:axisColor rgb="FF000000"/>
            </x14:dataBar>
          </x14:cfRule>
          <xm:sqref>D162</xm:sqref>
        </x14:conditionalFormatting>
        <x14:conditionalFormatting xmlns:xm="http://schemas.microsoft.com/office/excel/2006/main">
          <x14:cfRule type="dataBar" id="{5BBA960D-B0F2-46B8-BE2F-A9EA455EDBD6}">
            <x14:dataBar minLength="0" maxLength="100" gradient="0">
              <x14:cfvo type="num">
                <xm:f>0</xm:f>
              </x14:cfvo>
              <x14:cfvo type="num">
                <xm:f>1</xm:f>
              </x14:cfvo>
              <x14:negativeFillColor rgb="FFFF0000"/>
              <x14:axisColor rgb="FF000000"/>
            </x14:dataBar>
          </x14:cfRule>
          <xm:sqref>D161</xm:sqref>
        </x14:conditionalFormatting>
        <x14:conditionalFormatting xmlns:xm="http://schemas.microsoft.com/office/excel/2006/main">
          <x14:cfRule type="dataBar" id="{3972B8CB-3CD6-4DD5-B042-D8644CBD22D7}">
            <x14:dataBar minLength="0" maxLength="100" gradient="0">
              <x14:cfvo type="num">
                <xm:f>0</xm:f>
              </x14:cfvo>
              <x14:cfvo type="num">
                <xm:f>1</xm:f>
              </x14:cfvo>
              <x14:negativeFillColor rgb="FFFF0000"/>
              <x14:axisColor rgb="FF000000"/>
            </x14:dataBar>
          </x14:cfRule>
          <xm:sqref>D163</xm:sqref>
        </x14:conditionalFormatting>
        <x14:conditionalFormatting xmlns:xm="http://schemas.microsoft.com/office/excel/2006/main">
          <x14:cfRule type="dataBar" id="{8A74B307-E859-492E-98F7-1602E133A620}">
            <x14:dataBar minLength="0" maxLength="100" gradient="0">
              <x14:cfvo type="num">
                <xm:f>0</xm:f>
              </x14:cfvo>
              <x14:cfvo type="num">
                <xm:f>1</xm:f>
              </x14:cfvo>
              <x14:negativeFillColor rgb="FFFF0000"/>
              <x14:axisColor rgb="FF000000"/>
            </x14:dataBar>
          </x14:cfRule>
          <xm:sqref>D164</xm:sqref>
        </x14:conditionalFormatting>
        <x14:conditionalFormatting xmlns:xm="http://schemas.microsoft.com/office/excel/2006/main">
          <x14:cfRule type="dataBar" id="{C2830731-C2F8-409A-8F8A-35D838AC8FD6}">
            <x14:dataBar minLength="0" maxLength="100" gradient="0">
              <x14:cfvo type="num">
                <xm:f>0</xm:f>
              </x14:cfvo>
              <x14:cfvo type="num">
                <xm:f>1</xm:f>
              </x14:cfvo>
              <x14:negativeFillColor rgb="FFFF0000"/>
              <x14:axisColor rgb="FF000000"/>
            </x14:dataBar>
          </x14:cfRule>
          <xm:sqref>D165</xm:sqref>
        </x14:conditionalFormatting>
        <x14:conditionalFormatting xmlns:xm="http://schemas.microsoft.com/office/excel/2006/main">
          <x14:cfRule type="dataBar" id="{B75399C5-2860-4461-A7D6-525489DB59AF}">
            <x14:dataBar minLength="0" maxLength="100" gradient="0">
              <x14:cfvo type="num">
                <xm:f>0</xm:f>
              </x14:cfvo>
              <x14:cfvo type="num">
                <xm:f>1</xm:f>
              </x14:cfvo>
              <x14:negativeFillColor rgb="FFFF0000"/>
              <x14:axisColor rgb="FF000000"/>
            </x14:dataBar>
          </x14:cfRule>
          <xm:sqref>D166</xm:sqref>
        </x14:conditionalFormatting>
        <x14:conditionalFormatting xmlns:xm="http://schemas.microsoft.com/office/excel/2006/main">
          <x14:cfRule type="dataBar" id="{C7D4469A-DBA4-4C52-84E6-64C5162084A1}">
            <x14:dataBar minLength="0" maxLength="100" gradient="0">
              <x14:cfvo type="num">
                <xm:f>0</xm:f>
              </x14:cfvo>
              <x14:cfvo type="num">
                <xm:f>1</xm:f>
              </x14:cfvo>
              <x14:negativeFillColor rgb="FFFF0000"/>
              <x14:axisColor rgb="FF000000"/>
            </x14:dataBar>
          </x14:cfRule>
          <xm:sqref>D168</xm:sqref>
        </x14:conditionalFormatting>
        <x14:conditionalFormatting xmlns:xm="http://schemas.microsoft.com/office/excel/2006/main">
          <x14:cfRule type="dataBar" id="{985F9EAE-0E86-45D2-8CA6-3FCAA02690F2}">
            <x14:dataBar minLength="0" maxLength="100" gradient="0">
              <x14:cfvo type="num">
                <xm:f>0</xm:f>
              </x14:cfvo>
              <x14:cfvo type="num">
                <xm:f>1</xm:f>
              </x14:cfvo>
              <x14:negativeFillColor rgb="FFFF0000"/>
              <x14:axisColor rgb="FF000000"/>
            </x14:dataBar>
          </x14:cfRule>
          <xm:sqref>D167</xm:sqref>
        </x14:conditionalFormatting>
        <x14:conditionalFormatting xmlns:xm="http://schemas.microsoft.com/office/excel/2006/main">
          <x14:cfRule type="dataBar" id="{B95E7B64-DF2F-4DC7-98CC-055AC83C9DC0}">
            <x14:dataBar minLength="0" maxLength="100" gradient="0">
              <x14:cfvo type="num">
                <xm:f>0</xm:f>
              </x14:cfvo>
              <x14:cfvo type="num">
                <xm:f>1</xm:f>
              </x14:cfvo>
              <x14:negativeFillColor rgb="FFFF0000"/>
              <x14:axisColor rgb="FF000000"/>
            </x14:dataBar>
          </x14:cfRule>
          <xm:sqref>D169</xm:sqref>
        </x14:conditionalFormatting>
        <x14:conditionalFormatting xmlns:xm="http://schemas.microsoft.com/office/excel/2006/main">
          <x14:cfRule type="dataBar" id="{A0B068D3-11EE-4B89-B6F5-500C88ADBC61}">
            <x14:dataBar minLength="0" maxLength="100" gradient="0">
              <x14:cfvo type="num">
                <xm:f>0</xm:f>
              </x14:cfvo>
              <x14:cfvo type="num">
                <xm:f>1</xm:f>
              </x14:cfvo>
              <x14:negativeFillColor rgb="FFFF0000"/>
              <x14:axisColor rgb="FF000000"/>
            </x14:dataBar>
          </x14:cfRule>
          <xm:sqref>D170</xm:sqref>
        </x14:conditionalFormatting>
        <x14:conditionalFormatting xmlns:xm="http://schemas.microsoft.com/office/excel/2006/main">
          <x14:cfRule type="dataBar" id="{F940EF4A-505B-4CC1-87A7-3464C1338062}">
            <x14:dataBar minLength="0" maxLength="100" gradient="0">
              <x14:cfvo type="num">
                <xm:f>0</xm:f>
              </x14:cfvo>
              <x14:cfvo type="num">
                <xm:f>1</xm:f>
              </x14:cfvo>
              <x14:negativeFillColor rgb="FFFF0000"/>
              <x14:axisColor rgb="FF000000"/>
            </x14:dataBar>
          </x14:cfRule>
          <xm:sqref>D171</xm:sqref>
        </x14:conditionalFormatting>
        <x14:conditionalFormatting xmlns:xm="http://schemas.microsoft.com/office/excel/2006/main">
          <x14:cfRule type="dataBar" id="{93B278CC-6146-4F90-9749-368150FB7B03}">
            <x14:dataBar minLength="0" maxLength="100" gradient="0">
              <x14:cfvo type="num">
                <xm:f>0</xm:f>
              </x14:cfvo>
              <x14:cfvo type="num">
                <xm:f>1</xm:f>
              </x14:cfvo>
              <x14:negativeFillColor rgb="FFFF0000"/>
              <x14:axisColor rgb="FF000000"/>
            </x14:dataBar>
          </x14:cfRule>
          <xm:sqref>D172</xm:sqref>
        </x14:conditionalFormatting>
        <x14:conditionalFormatting xmlns:xm="http://schemas.microsoft.com/office/excel/2006/main">
          <x14:cfRule type="dataBar" id="{819ACC5C-E1A5-4B63-AE46-2FDDFCED3F81}">
            <x14:dataBar minLength="0" maxLength="100" gradient="0">
              <x14:cfvo type="num">
                <xm:f>0</xm:f>
              </x14:cfvo>
              <x14:cfvo type="num">
                <xm:f>1</xm:f>
              </x14:cfvo>
              <x14:negativeFillColor rgb="FFFF0000"/>
              <x14:axisColor rgb="FF000000"/>
            </x14:dataBar>
          </x14:cfRule>
          <xm:sqref>D173</xm:sqref>
        </x14:conditionalFormatting>
        <x14:conditionalFormatting xmlns:xm="http://schemas.microsoft.com/office/excel/2006/main">
          <x14:cfRule type="dataBar" id="{D74C6274-D573-4B37-BC18-BC2AB2563C3A}">
            <x14:dataBar minLength="0" maxLength="100" gradient="0">
              <x14:cfvo type="num">
                <xm:f>0</xm:f>
              </x14:cfvo>
              <x14:cfvo type="num">
                <xm:f>1</xm:f>
              </x14:cfvo>
              <x14:negativeFillColor rgb="FFFF0000"/>
              <x14:axisColor rgb="FF000000"/>
            </x14:dataBar>
          </x14:cfRule>
          <xm:sqref>D175</xm:sqref>
        </x14:conditionalFormatting>
        <x14:conditionalFormatting xmlns:xm="http://schemas.microsoft.com/office/excel/2006/main">
          <x14:cfRule type="dataBar" id="{919D6940-1696-4CB2-A9E2-1B60B54098C4}">
            <x14:dataBar minLength="0" maxLength="100" gradient="0">
              <x14:cfvo type="num">
                <xm:f>0</xm:f>
              </x14:cfvo>
              <x14:cfvo type="num">
                <xm:f>1</xm:f>
              </x14:cfvo>
              <x14:negativeFillColor rgb="FFFF0000"/>
              <x14:axisColor rgb="FF000000"/>
            </x14:dataBar>
          </x14:cfRule>
          <xm:sqref>D174</xm:sqref>
        </x14:conditionalFormatting>
        <x14:conditionalFormatting xmlns:xm="http://schemas.microsoft.com/office/excel/2006/main">
          <x14:cfRule type="dataBar" id="{F3E38615-D651-4D55-B1DF-896576120301}">
            <x14:dataBar minLength="0" maxLength="100" gradient="0">
              <x14:cfvo type="num">
                <xm:f>0</xm:f>
              </x14:cfvo>
              <x14:cfvo type="num">
                <xm:f>1</xm:f>
              </x14:cfvo>
              <x14:negativeFillColor rgb="FFFF0000"/>
              <x14:axisColor rgb="FF000000"/>
            </x14:dataBar>
          </x14:cfRule>
          <xm:sqref>D176</xm:sqref>
        </x14:conditionalFormatting>
        <x14:conditionalFormatting xmlns:xm="http://schemas.microsoft.com/office/excel/2006/main">
          <x14:cfRule type="dataBar" id="{E6590DB5-4A53-4B89-BAC6-F3C91BF0035C}">
            <x14:dataBar minLength="0" maxLength="100" gradient="0">
              <x14:cfvo type="num">
                <xm:f>0</xm:f>
              </x14:cfvo>
              <x14:cfvo type="num">
                <xm:f>1</xm:f>
              </x14:cfvo>
              <x14:negativeFillColor rgb="FFFF0000"/>
              <x14:axisColor rgb="FF000000"/>
            </x14:dataBar>
          </x14:cfRule>
          <xm:sqref>D178</xm:sqref>
        </x14:conditionalFormatting>
        <x14:conditionalFormatting xmlns:xm="http://schemas.microsoft.com/office/excel/2006/main">
          <x14:cfRule type="dataBar" id="{C52E4701-D962-442B-829F-9FC39105DAAE}">
            <x14:dataBar minLength="0" maxLength="100" gradient="0">
              <x14:cfvo type="num">
                <xm:f>0</xm:f>
              </x14:cfvo>
              <x14:cfvo type="num">
                <xm:f>1</xm:f>
              </x14:cfvo>
              <x14:negativeFillColor rgb="FFFF0000"/>
              <x14:axisColor rgb="FF000000"/>
            </x14:dataBar>
          </x14:cfRule>
          <xm:sqref>D177</xm:sqref>
        </x14:conditionalFormatting>
        <x14:conditionalFormatting xmlns:xm="http://schemas.microsoft.com/office/excel/2006/main">
          <x14:cfRule type="dataBar" id="{39404B7D-54C0-45C5-97A7-E185845FC5ED}">
            <x14:dataBar minLength="0" maxLength="100" gradient="0">
              <x14:cfvo type="num">
                <xm:f>0</xm:f>
              </x14:cfvo>
              <x14:cfvo type="num">
                <xm:f>1</xm:f>
              </x14:cfvo>
              <x14:negativeFillColor rgb="FFFF0000"/>
              <x14:axisColor rgb="FF000000"/>
            </x14:dataBar>
          </x14:cfRule>
          <xm:sqref>D180</xm:sqref>
        </x14:conditionalFormatting>
        <x14:conditionalFormatting xmlns:xm="http://schemas.microsoft.com/office/excel/2006/main">
          <x14:cfRule type="dataBar" id="{30802C17-67E1-4CEE-A30A-5D77DD654491}">
            <x14:dataBar minLength="0" maxLength="100" gradient="0">
              <x14:cfvo type="num">
                <xm:f>0</xm:f>
              </x14:cfvo>
              <x14:cfvo type="num">
                <xm:f>1</xm:f>
              </x14:cfvo>
              <x14:negativeFillColor rgb="FFFF0000"/>
              <x14:axisColor rgb="FF000000"/>
            </x14:dataBar>
          </x14:cfRule>
          <xm:sqref>D179</xm:sqref>
        </x14:conditionalFormatting>
        <x14:conditionalFormatting xmlns:xm="http://schemas.microsoft.com/office/excel/2006/main">
          <x14:cfRule type="dataBar" id="{F8917D72-1D7E-4007-957B-7CF8F6A26EEF}">
            <x14:dataBar minLength="0" maxLength="100" gradient="0">
              <x14:cfvo type="num">
                <xm:f>0</xm:f>
              </x14:cfvo>
              <x14:cfvo type="num">
                <xm:f>1</xm:f>
              </x14:cfvo>
              <x14:negativeFillColor rgb="FFFF0000"/>
              <x14:axisColor rgb="FF000000"/>
            </x14:dataBar>
          </x14:cfRule>
          <xm:sqref>D181</xm:sqref>
        </x14:conditionalFormatting>
        <x14:conditionalFormatting xmlns:xm="http://schemas.microsoft.com/office/excel/2006/main">
          <x14:cfRule type="dataBar" id="{B17479D6-21E3-4922-B118-39D2C8B15334}">
            <x14:dataBar minLength="0" maxLength="100" gradient="0">
              <x14:cfvo type="num">
                <xm:f>0</xm:f>
              </x14:cfvo>
              <x14:cfvo type="num">
                <xm:f>1</xm:f>
              </x14:cfvo>
              <x14:negativeFillColor rgb="FFFF0000"/>
              <x14:axisColor rgb="FF000000"/>
            </x14:dataBar>
          </x14:cfRule>
          <xm:sqref>D182</xm:sqref>
        </x14:conditionalFormatting>
        <x14:conditionalFormatting xmlns:xm="http://schemas.microsoft.com/office/excel/2006/main">
          <x14:cfRule type="dataBar" id="{46989F0D-F1EC-4D21-A067-9FC0B7AAB660}">
            <x14:dataBar minLength="0" maxLength="100" gradient="0">
              <x14:cfvo type="num">
                <xm:f>0</xm:f>
              </x14:cfvo>
              <x14:cfvo type="num">
                <xm:f>1</xm:f>
              </x14:cfvo>
              <x14:negativeFillColor rgb="FFFF0000"/>
              <x14:axisColor rgb="FF000000"/>
            </x14:dataBar>
          </x14:cfRule>
          <xm:sqref>D184</xm:sqref>
        </x14:conditionalFormatting>
        <x14:conditionalFormatting xmlns:xm="http://schemas.microsoft.com/office/excel/2006/main">
          <x14:cfRule type="dataBar" id="{2EE046EC-41B5-4208-A6B4-30D2315F42C1}">
            <x14:dataBar minLength="0" maxLength="100" gradient="0">
              <x14:cfvo type="num">
                <xm:f>0</xm:f>
              </x14:cfvo>
              <x14:cfvo type="num">
                <xm:f>1</xm:f>
              </x14:cfvo>
              <x14:negativeFillColor rgb="FFFF0000"/>
              <x14:axisColor rgb="FF000000"/>
            </x14:dataBar>
          </x14:cfRule>
          <xm:sqref>D183</xm:sqref>
        </x14:conditionalFormatting>
        <x14:conditionalFormatting xmlns:xm="http://schemas.microsoft.com/office/excel/2006/main">
          <x14:cfRule type="dataBar" id="{C4C01F15-D98D-422E-BAA8-6B4BDEADB0C8}">
            <x14:dataBar minLength="0" maxLength="100" gradient="0">
              <x14:cfvo type="num">
                <xm:f>0</xm:f>
              </x14:cfvo>
              <x14:cfvo type="num">
                <xm:f>1</xm:f>
              </x14:cfvo>
              <x14:negativeFillColor rgb="FFFF0000"/>
              <x14:axisColor rgb="FF000000"/>
            </x14:dataBar>
          </x14:cfRule>
          <xm:sqref>D185</xm:sqref>
        </x14:conditionalFormatting>
        <x14:conditionalFormatting xmlns:xm="http://schemas.microsoft.com/office/excel/2006/main">
          <x14:cfRule type="dataBar" id="{30B2B900-D7DC-49A0-B633-44740662E41E}">
            <x14:dataBar minLength="0" maxLength="100" gradient="0">
              <x14:cfvo type="num">
                <xm:f>0</xm:f>
              </x14:cfvo>
              <x14:cfvo type="num">
                <xm:f>1</xm:f>
              </x14:cfvo>
              <x14:negativeFillColor rgb="FFFF0000"/>
              <x14:axisColor rgb="FF000000"/>
            </x14:dataBar>
          </x14:cfRule>
          <xm:sqref>D256:D258</xm:sqref>
        </x14:conditionalFormatting>
        <x14:conditionalFormatting xmlns:xm="http://schemas.microsoft.com/office/excel/2006/main">
          <x14:cfRule type="dataBar" id="{01413176-C9AC-497A-B84F-0ED4AB9968BC}">
            <x14:dataBar minLength="0" maxLength="100" gradient="0">
              <x14:cfvo type="num">
                <xm:f>0</xm:f>
              </x14:cfvo>
              <x14:cfvo type="num">
                <xm:f>1</xm:f>
              </x14:cfvo>
              <x14:negativeFillColor rgb="FFFF0000"/>
              <x14:axisColor rgb="FF000000"/>
            </x14:dataBar>
          </x14:cfRule>
          <xm:sqref>D259:D260</xm:sqref>
        </x14:conditionalFormatting>
        <x14:conditionalFormatting xmlns:xm="http://schemas.microsoft.com/office/excel/2006/main">
          <x14:cfRule type="dataBar" id="{E948AA0A-F67D-4A6D-845C-0AB0CD1FA39A}">
            <x14:dataBar minLength="0" maxLength="100" gradient="0">
              <x14:cfvo type="num">
                <xm:f>0</xm:f>
              </x14:cfvo>
              <x14:cfvo type="num">
                <xm:f>1</xm:f>
              </x14:cfvo>
              <x14:negativeFillColor rgb="FFFF0000"/>
              <x14:axisColor rgb="FF000000"/>
            </x14:dataBar>
          </x14:cfRule>
          <xm:sqref>D262:D264</xm:sqref>
        </x14:conditionalFormatting>
        <x14:conditionalFormatting xmlns:xm="http://schemas.microsoft.com/office/excel/2006/main">
          <x14:cfRule type="dataBar" id="{40E555EF-DD95-4527-A2F3-EBAC0FF71082}">
            <x14:dataBar minLength="0" maxLength="100" gradient="0">
              <x14:cfvo type="num">
                <xm:f>0</xm:f>
              </x14:cfvo>
              <x14:cfvo type="num">
                <xm:f>1</xm:f>
              </x14:cfvo>
              <x14:negativeFillColor rgb="FFFF0000"/>
              <x14:axisColor rgb="FF000000"/>
            </x14:dataBar>
          </x14:cfRule>
          <xm:sqref>D265:D266</xm:sqref>
        </x14:conditionalFormatting>
        <x14:conditionalFormatting xmlns:xm="http://schemas.microsoft.com/office/excel/2006/main">
          <x14:cfRule type="dataBar" id="{F9A65A19-F115-4B81-926B-6AF3187CD55A}">
            <x14:dataBar minLength="0" maxLength="100" gradient="0">
              <x14:cfvo type="num">
                <xm:f>0</xm:f>
              </x14:cfvo>
              <x14:cfvo type="num">
                <xm:f>1</xm:f>
              </x14:cfvo>
              <x14:negativeFillColor rgb="FFFF0000"/>
              <x14:axisColor rgb="FF000000"/>
            </x14:dataBar>
          </x14:cfRule>
          <xm:sqref>D267:D268</xm:sqref>
        </x14:conditionalFormatting>
        <x14:conditionalFormatting xmlns:xm="http://schemas.microsoft.com/office/excel/2006/main">
          <x14:cfRule type="dataBar" id="{01B3D0FD-750C-49C3-A7CB-7218C2C0F003}">
            <x14:dataBar minLength="0" maxLength="100" gradient="0">
              <x14:cfvo type="num">
                <xm:f>0</xm:f>
              </x14:cfvo>
              <x14:cfvo type="num">
                <xm:f>1</xm:f>
              </x14:cfvo>
              <x14:negativeFillColor rgb="FFFF0000"/>
              <x14:axisColor rgb="FF000000"/>
            </x14:dataBar>
          </x14:cfRule>
          <xm:sqref>D270:D271</xm:sqref>
        </x14:conditionalFormatting>
        <x14:conditionalFormatting xmlns:xm="http://schemas.microsoft.com/office/excel/2006/main">
          <x14:cfRule type="dataBar" id="{D5E217B6-7CC5-4B55-B17B-5D4EA9980F61}">
            <x14:dataBar minLength="0" maxLength="100" gradient="0">
              <x14:cfvo type="num">
                <xm:f>0</xm:f>
              </x14:cfvo>
              <x14:cfvo type="num">
                <xm:f>1</xm:f>
              </x14:cfvo>
              <x14:negativeFillColor rgb="FFFF0000"/>
              <x14:axisColor rgb="FF000000"/>
            </x14:dataBar>
          </x14:cfRule>
          <xm:sqref>D269</xm:sqref>
        </x14:conditionalFormatting>
        <x14:conditionalFormatting xmlns:xm="http://schemas.microsoft.com/office/excel/2006/main">
          <x14:cfRule type="dataBar" id="{FA390DFF-D1C8-4D8D-AEFF-38E5763FFC2F}">
            <x14:dataBar minLength="0" maxLength="100" gradient="0">
              <x14:cfvo type="num">
                <xm:f>0</xm:f>
              </x14:cfvo>
              <x14:cfvo type="num">
                <xm:f>1</xm:f>
              </x14:cfvo>
              <x14:negativeFillColor rgb="FFFF0000"/>
              <x14:axisColor rgb="FF000000"/>
            </x14:dataBar>
          </x14:cfRule>
          <xm:sqref>D272:D273</xm:sqref>
        </x14:conditionalFormatting>
        <x14:conditionalFormatting xmlns:xm="http://schemas.microsoft.com/office/excel/2006/main">
          <x14:cfRule type="dataBar" id="{50604248-C234-476D-87B8-27E22CFB8DEF}">
            <x14:dataBar minLength="0" maxLength="100" gradient="0">
              <x14:cfvo type="num">
                <xm:f>0</xm:f>
              </x14:cfvo>
              <x14:cfvo type="num">
                <xm:f>1</xm:f>
              </x14:cfvo>
              <x14:negativeFillColor rgb="FFFF0000"/>
              <x14:axisColor rgb="FF000000"/>
            </x14:dataBar>
          </x14:cfRule>
          <xm:sqref>D228</xm:sqref>
        </x14:conditionalFormatting>
        <x14:conditionalFormatting xmlns:xm="http://schemas.microsoft.com/office/excel/2006/main">
          <x14:cfRule type="dataBar" id="{3F3C0EA1-4273-4AAB-93EF-C3FD7F53BC77}">
            <x14:dataBar minLength="0" maxLength="100" gradient="0">
              <x14:cfvo type="num">
                <xm:f>0</xm:f>
              </x14:cfvo>
              <x14:cfvo type="num">
                <xm:f>1</xm:f>
              </x14:cfvo>
              <x14:negativeFillColor rgb="FFFF0000"/>
              <x14:axisColor rgb="FF000000"/>
            </x14:dataBar>
          </x14:cfRule>
          <xm:sqref>D227</xm:sqref>
        </x14:conditionalFormatting>
        <x14:conditionalFormatting xmlns:xm="http://schemas.microsoft.com/office/excel/2006/main">
          <x14:cfRule type="dataBar" id="{00D73E22-E9BF-454E-AA5D-B5135D4BFAAB}">
            <x14:dataBar minLength="0" maxLength="100" gradient="0">
              <x14:cfvo type="num">
                <xm:f>0</xm:f>
              </x14:cfvo>
              <x14:cfvo type="num">
                <xm:f>1</xm:f>
              </x14:cfvo>
              <x14:negativeFillColor rgb="FFFF0000"/>
              <x14:axisColor rgb="FF000000"/>
            </x14:dataBar>
          </x14:cfRule>
          <xm:sqref>D229</xm:sqref>
        </x14:conditionalFormatting>
        <x14:conditionalFormatting xmlns:xm="http://schemas.microsoft.com/office/excel/2006/main">
          <x14:cfRule type="dataBar" id="{2AB6FC1A-CB9A-4515-821A-23826BF7F9A5}">
            <x14:dataBar minLength="0" maxLength="100" gradient="0">
              <x14:cfvo type="num">
                <xm:f>0</xm:f>
              </x14:cfvo>
              <x14:cfvo type="num">
                <xm:f>1</xm:f>
              </x14:cfvo>
              <x14:negativeFillColor rgb="FFFF0000"/>
              <x14:axisColor rgb="FF000000"/>
            </x14:dataBar>
          </x14:cfRule>
          <xm:sqref>D45</xm:sqref>
        </x14:conditionalFormatting>
        <x14:conditionalFormatting xmlns:xm="http://schemas.microsoft.com/office/excel/2006/main">
          <x14:cfRule type="dataBar" id="{7ACF6717-608B-4A28-ABDC-C12A6C036D18}">
            <x14:dataBar minLength="0" maxLength="100" gradient="0">
              <x14:cfvo type="num">
                <xm:f>0</xm:f>
              </x14:cfvo>
              <x14:cfvo type="num">
                <xm:f>1</xm:f>
              </x14:cfvo>
              <x14:negativeFillColor rgb="FFFF0000"/>
              <x14:axisColor rgb="FF000000"/>
            </x14:dataBar>
          </x14:cfRule>
          <xm:sqref>D53</xm:sqref>
        </x14:conditionalFormatting>
        <x14:conditionalFormatting xmlns:xm="http://schemas.microsoft.com/office/excel/2006/main">
          <x14:cfRule type="dataBar" id="{93315C59-C926-4167-9F1D-58B44B4BD57A}">
            <x14:dataBar minLength="0" maxLength="100" gradient="0">
              <x14:cfvo type="num">
                <xm:f>0</xm:f>
              </x14:cfvo>
              <x14:cfvo type="num">
                <xm:f>1</xm:f>
              </x14:cfvo>
              <x14:negativeFillColor rgb="FFFF0000"/>
              <x14:axisColor rgb="FF000000"/>
            </x14:dataBar>
          </x14:cfRule>
          <xm:sqref>D52</xm:sqref>
        </x14:conditionalFormatting>
        <x14:conditionalFormatting xmlns:xm="http://schemas.microsoft.com/office/excel/2006/main">
          <x14:cfRule type="dataBar" id="{35A2F634-260E-4A0B-9431-7B8600F4D62A}">
            <x14:dataBar minLength="0" maxLength="100" gradient="0">
              <x14:cfvo type="num">
                <xm:f>0</xm:f>
              </x14:cfvo>
              <x14:cfvo type="num">
                <xm:f>1</xm:f>
              </x14:cfvo>
              <x14:negativeFillColor rgb="FFFF0000"/>
              <x14:axisColor rgb="FF000000"/>
            </x14:dataBar>
          </x14:cfRule>
          <xm:sqref>D22</xm:sqref>
        </x14:conditionalFormatting>
        <x14:conditionalFormatting xmlns:xm="http://schemas.microsoft.com/office/excel/2006/main">
          <x14:cfRule type="dataBar" id="{F7EFA2C5-C4B9-40DB-8C86-144EAA00E7E3}">
            <x14:dataBar minLength="0" maxLength="100" gradient="0">
              <x14:cfvo type="num">
                <xm:f>0</xm:f>
              </x14:cfvo>
              <x14:cfvo type="num">
                <xm:f>1</xm:f>
              </x14:cfvo>
              <x14:negativeFillColor rgb="FFFF0000"/>
              <x14:axisColor rgb="FF000000"/>
            </x14:dataBar>
          </x14:cfRule>
          <xm:sqref>D72</xm:sqref>
        </x14:conditionalFormatting>
        <x14:conditionalFormatting xmlns:xm="http://schemas.microsoft.com/office/excel/2006/main">
          <x14:cfRule type="dataBar" id="{8C3CF505-E917-4514-B48F-1397E3EAA48F}">
            <x14:dataBar minLength="0" maxLength="100" gradient="0">
              <x14:cfvo type="num">
                <xm:f>0</xm:f>
              </x14:cfvo>
              <x14:cfvo type="num">
                <xm:f>1</xm:f>
              </x14:cfvo>
              <x14:negativeFillColor rgb="FFFF0000"/>
              <x14:axisColor rgb="FF000000"/>
            </x14:dataBar>
          </x14:cfRule>
          <xm:sqref>D73</xm:sqref>
        </x14:conditionalFormatting>
        <x14:conditionalFormatting xmlns:xm="http://schemas.microsoft.com/office/excel/2006/main">
          <x14:cfRule type="dataBar" id="{7D8CDC48-6F58-46DC-9E85-A36EC8E4C137}">
            <x14:dataBar minLength="0" maxLength="100" gradient="0">
              <x14:cfvo type="num">
                <xm:f>0</xm:f>
              </x14:cfvo>
              <x14:cfvo type="num">
                <xm:f>1</xm:f>
              </x14:cfvo>
              <x14:negativeFillColor rgb="FFFF0000"/>
              <x14:axisColor rgb="FF000000"/>
            </x14:dataBar>
          </x14:cfRule>
          <xm:sqref>D74</xm:sqref>
        </x14:conditionalFormatting>
        <x14:conditionalFormatting xmlns:xm="http://schemas.microsoft.com/office/excel/2006/main">
          <x14:cfRule type="dataBar" id="{DCD74059-A27F-45A9-827E-C5DF6D242912}">
            <x14:dataBar minLength="0" maxLength="100" gradient="0">
              <x14:cfvo type="num">
                <xm:f>0</xm:f>
              </x14:cfvo>
              <x14:cfvo type="num">
                <xm:f>1</xm:f>
              </x14:cfvo>
              <x14:negativeFillColor rgb="FFFF0000"/>
              <x14:axisColor rgb="FF000000"/>
            </x14:dataBar>
          </x14:cfRule>
          <xm:sqref>D96</xm:sqref>
        </x14:conditionalFormatting>
        <x14:conditionalFormatting xmlns:xm="http://schemas.microsoft.com/office/excel/2006/main">
          <x14:cfRule type="dataBar" id="{D8757667-92EA-44E2-AAE3-FC74A4866DF2}">
            <x14:dataBar minLength="0" maxLength="100" gradient="0">
              <x14:cfvo type="num">
                <xm:f>0</xm:f>
              </x14:cfvo>
              <x14:cfvo type="num">
                <xm:f>1</xm:f>
              </x14:cfvo>
              <x14:negativeFillColor rgb="FFFF0000"/>
              <x14:axisColor rgb="FF000000"/>
            </x14:dataBar>
          </x14:cfRule>
          <xm:sqref>D117</xm:sqref>
        </x14:conditionalFormatting>
        <x14:conditionalFormatting xmlns:xm="http://schemas.microsoft.com/office/excel/2006/main">
          <x14:cfRule type="dataBar" id="{06081CCF-F392-4F98-B0AA-52DA2DD4028D}">
            <x14:dataBar minLength="0" maxLength="100" gradient="0">
              <x14:cfvo type="num">
                <xm:f>0</xm:f>
              </x14:cfvo>
              <x14:cfvo type="num">
                <xm:f>1</xm:f>
              </x14:cfvo>
              <x14:negativeFillColor rgb="FFFF0000"/>
              <x14:axisColor rgb="FF000000"/>
            </x14:dataBar>
          </x14:cfRule>
          <xm:sqref>D119</xm:sqref>
        </x14:conditionalFormatting>
        <x14:conditionalFormatting xmlns:xm="http://schemas.microsoft.com/office/excel/2006/main">
          <x14:cfRule type="dataBar" id="{FBAB3BEF-32E9-4F9C-AA30-9E32ED657261}">
            <x14:dataBar minLength="0" maxLength="100" gradient="0">
              <x14:cfvo type="num">
                <xm:f>0</xm:f>
              </x14:cfvo>
              <x14:cfvo type="num">
                <xm:f>1</xm:f>
              </x14:cfvo>
              <x14:negativeFillColor rgb="FFFF0000"/>
              <x14:axisColor rgb="FF000000"/>
            </x14:dataBar>
          </x14:cfRule>
          <xm:sqref>D118</xm:sqref>
        </x14:conditionalFormatting>
        <x14:conditionalFormatting xmlns:xm="http://schemas.microsoft.com/office/excel/2006/main">
          <x14:cfRule type="dataBar" id="{826DF911-D38E-4A8B-8587-1735E40424AA}">
            <x14:dataBar minLength="0" maxLength="100" gradient="0">
              <x14:cfvo type="num">
                <xm:f>0</xm:f>
              </x14:cfvo>
              <x14:cfvo type="num">
                <xm:f>1</xm:f>
              </x14:cfvo>
              <x14:negativeFillColor rgb="FFFF0000"/>
              <x14:axisColor rgb="FF000000"/>
            </x14:dataBar>
          </x14:cfRule>
          <xm:sqref>D120</xm:sqref>
        </x14:conditionalFormatting>
        <x14:conditionalFormatting xmlns:xm="http://schemas.microsoft.com/office/excel/2006/main">
          <x14:cfRule type="dataBar" id="{0DC48876-507E-432C-910B-3E5AA171BFE6}">
            <x14:dataBar minLength="0" maxLength="100" gradient="0">
              <x14:cfvo type="num">
                <xm:f>0</xm:f>
              </x14:cfvo>
              <x14:cfvo type="num">
                <xm:f>1</xm:f>
              </x14:cfvo>
              <x14:negativeFillColor rgb="FFFF0000"/>
              <x14:axisColor rgb="FF000000"/>
            </x14:dataBar>
          </x14:cfRule>
          <xm:sqref>D121</xm:sqref>
        </x14:conditionalFormatting>
        <x14:conditionalFormatting xmlns:xm="http://schemas.microsoft.com/office/excel/2006/main">
          <x14:cfRule type="dataBar" id="{1F12AC12-4784-41CA-9A9F-A7536A545CD0}">
            <x14:dataBar minLength="0" maxLength="100" gradient="0">
              <x14:cfvo type="num">
                <xm:f>0</xm:f>
              </x14:cfvo>
              <x14:cfvo type="num">
                <xm:f>1</xm:f>
              </x14:cfvo>
              <x14:negativeFillColor rgb="FFFF0000"/>
              <x14:axisColor rgb="FF000000"/>
            </x14:dataBar>
          </x14:cfRule>
          <xm:sqref>D123</xm:sqref>
        </x14:conditionalFormatting>
        <x14:conditionalFormatting xmlns:xm="http://schemas.microsoft.com/office/excel/2006/main">
          <x14:cfRule type="dataBar" id="{E61D7B35-A0F5-4D52-9D4B-845BB2CF156F}">
            <x14:dataBar minLength="0" maxLength="100" gradient="0">
              <x14:cfvo type="num">
                <xm:f>0</xm:f>
              </x14:cfvo>
              <x14:cfvo type="num">
                <xm:f>1</xm:f>
              </x14:cfvo>
              <x14:negativeFillColor rgb="FFFF0000"/>
              <x14:axisColor rgb="FF000000"/>
            </x14:dataBar>
          </x14:cfRule>
          <xm:sqref>D122</xm:sqref>
        </x14:conditionalFormatting>
        <x14:conditionalFormatting xmlns:xm="http://schemas.microsoft.com/office/excel/2006/main">
          <x14:cfRule type="dataBar" id="{597834FB-23E1-4B49-8EF6-D893E8286E2C}">
            <x14:dataBar minLength="0" maxLength="100" gradient="0">
              <x14:cfvo type="num">
                <xm:f>0</xm:f>
              </x14:cfvo>
              <x14:cfvo type="num">
                <xm:f>1</xm:f>
              </x14:cfvo>
              <x14:negativeFillColor rgb="FFFF0000"/>
              <x14:axisColor rgb="FF000000"/>
            </x14:dataBar>
          </x14:cfRule>
          <xm:sqref>D125</xm:sqref>
        </x14:conditionalFormatting>
        <x14:conditionalFormatting xmlns:xm="http://schemas.microsoft.com/office/excel/2006/main">
          <x14:cfRule type="dataBar" id="{32245E97-2B55-4B27-8DA5-C00DDDA8897F}">
            <x14:dataBar minLength="0" maxLength="100" gradient="0">
              <x14:cfvo type="num">
                <xm:f>0</xm:f>
              </x14:cfvo>
              <x14:cfvo type="num">
                <xm:f>1</xm:f>
              </x14:cfvo>
              <x14:negativeFillColor rgb="FFFF0000"/>
              <x14:axisColor rgb="FF000000"/>
            </x14:dataBar>
          </x14:cfRule>
          <xm:sqref>D124</xm:sqref>
        </x14:conditionalFormatting>
        <x14:conditionalFormatting xmlns:xm="http://schemas.microsoft.com/office/excel/2006/main">
          <x14:cfRule type="dataBar" id="{380234B2-6291-4985-BBAD-538F99BC847B}">
            <x14:dataBar minLength="0" maxLength="100" gradient="0">
              <x14:cfvo type="num">
                <xm:f>0</xm:f>
              </x14:cfvo>
              <x14:cfvo type="num">
                <xm:f>1</xm:f>
              </x14:cfvo>
              <x14:negativeFillColor rgb="FFFF0000"/>
              <x14:axisColor rgb="FF000000"/>
            </x14:dataBar>
          </x14:cfRule>
          <xm:sqref>D129</xm:sqref>
        </x14:conditionalFormatting>
        <x14:conditionalFormatting xmlns:xm="http://schemas.microsoft.com/office/excel/2006/main">
          <x14:cfRule type="dataBar" id="{DC3D7D5A-3D5F-4271-B7CA-D7A2E1586010}">
            <x14:dataBar minLength="0" maxLength="100" gradient="0">
              <x14:cfvo type="num">
                <xm:f>0</xm:f>
              </x14:cfvo>
              <x14:cfvo type="num">
                <xm:f>1</xm:f>
              </x14:cfvo>
              <x14:negativeFillColor rgb="FFFF0000"/>
              <x14:axisColor rgb="FF000000"/>
            </x14:dataBar>
          </x14:cfRule>
          <xm:sqref>D130</xm:sqref>
        </x14:conditionalFormatting>
        <x14:conditionalFormatting xmlns:xm="http://schemas.microsoft.com/office/excel/2006/main">
          <x14:cfRule type="dataBar" id="{DE3FD6C2-240B-4B9C-AEE0-BA4400BC3A0D}">
            <x14:dataBar minLength="0" maxLength="100" gradient="0">
              <x14:cfvo type="num">
                <xm:f>0</xm:f>
              </x14:cfvo>
              <x14:cfvo type="num">
                <xm:f>1</xm:f>
              </x14:cfvo>
              <x14:negativeFillColor rgb="FFFF0000"/>
              <x14:axisColor rgb="FF000000"/>
            </x14:dataBar>
          </x14:cfRule>
          <xm:sqref>D131</xm:sqref>
        </x14:conditionalFormatting>
        <x14:conditionalFormatting xmlns:xm="http://schemas.microsoft.com/office/excel/2006/main">
          <x14:cfRule type="dataBar" id="{5453652F-7EF2-4E36-AABD-C23E8FC91451}">
            <x14:dataBar minLength="0" maxLength="100" gradient="0">
              <x14:cfvo type="num">
                <xm:f>0</xm:f>
              </x14:cfvo>
              <x14:cfvo type="num">
                <xm:f>1</xm:f>
              </x14:cfvo>
              <x14:negativeFillColor rgb="FFFF0000"/>
              <x14:axisColor rgb="FF000000"/>
            </x14:dataBar>
          </x14:cfRule>
          <xm:sqref>D132</xm:sqref>
        </x14:conditionalFormatting>
        <x14:conditionalFormatting xmlns:xm="http://schemas.microsoft.com/office/excel/2006/main">
          <x14:cfRule type="dataBar" id="{8885534A-498E-4CC1-A9E1-EEE1F71F1BE1}">
            <x14:dataBar minLength="0" maxLength="100" gradient="0">
              <x14:cfvo type="num">
                <xm:f>0</xm:f>
              </x14:cfvo>
              <x14:cfvo type="num">
                <xm:f>1</xm:f>
              </x14:cfvo>
              <x14:negativeFillColor rgb="FFFF0000"/>
              <x14:axisColor rgb="FF000000"/>
            </x14:dataBar>
          </x14:cfRule>
          <xm:sqref>D133</xm:sqref>
        </x14:conditionalFormatting>
        <x14:conditionalFormatting xmlns:xm="http://schemas.microsoft.com/office/excel/2006/main">
          <x14:cfRule type="dataBar" id="{0CAB910E-C89D-4A75-9221-EC2A46D717CE}">
            <x14:dataBar minLength="0" maxLength="100" gradient="0">
              <x14:cfvo type="num">
                <xm:f>0</xm:f>
              </x14:cfvo>
              <x14:cfvo type="num">
                <xm:f>1</xm:f>
              </x14:cfvo>
              <x14:negativeFillColor rgb="FFFF0000"/>
              <x14:axisColor rgb="FF000000"/>
            </x14:dataBar>
          </x14:cfRule>
          <xm:sqref>D134</xm:sqref>
        </x14:conditionalFormatting>
        <x14:conditionalFormatting xmlns:xm="http://schemas.microsoft.com/office/excel/2006/main">
          <x14:cfRule type="dataBar" id="{4D1CF7B9-19D3-4E86-BF0F-81604837619D}">
            <x14:dataBar minLength="0" maxLength="100" gradient="0">
              <x14:cfvo type="num">
                <xm:f>0</xm:f>
              </x14:cfvo>
              <x14:cfvo type="num">
                <xm:f>1</xm:f>
              </x14:cfvo>
              <x14:negativeFillColor rgb="FFFF0000"/>
              <x14:axisColor rgb="FF000000"/>
            </x14:dataBar>
          </x14:cfRule>
          <xm:sqref>D135</xm:sqref>
        </x14:conditionalFormatting>
        <x14:conditionalFormatting xmlns:xm="http://schemas.microsoft.com/office/excel/2006/main">
          <x14:cfRule type="dataBar" id="{CCFC35C4-AA61-48EF-BDC7-D3B444284385}">
            <x14:dataBar minLength="0" maxLength="100" gradient="0">
              <x14:cfvo type="num">
                <xm:f>0</xm:f>
              </x14:cfvo>
              <x14:cfvo type="num">
                <xm:f>1</xm:f>
              </x14:cfvo>
              <x14:negativeFillColor rgb="FFFF0000"/>
              <x14:axisColor rgb="FF000000"/>
            </x14:dataBar>
          </x14:cfRule>
          <xm:sqref>D126</xm:sqref>
        </x14:conditionalFormatting>
        <x14:conditionalFormatting xmlns:xm="http://schemas.microsoft.com/office/excel/2006/main">
          <x14:cfRule type="dataBar" id="{1639ED5F-C9EC-4572-8ECC-9DBA2F5EAE05}">
            <x14:dataBar minLength="0" maxLength="100" gradient="0">
              <x14:cfvo type="num">
                <xm:f>0</xm:f>
              </x14:cfvo>
              <x14:cfvo type="num">
                <xm:f>1</xm:f>
              </x14:cfvo>
              <x14:negativeFillColor rgb="FFFF0000"/>
              <x14:axisColor rgb="FF000000"/>
            </x14:dataBar>
          </x14:cfRule>
          <xm:sqref>D127</xm:sqref>
        </x14:conditionalFormatting>
        <x14:conditionalFormatting xmlns:xm="http://schemas.microsoft.com/office/excel/2006/main">
          <x14:cfRule type="dataBar" id="{79339534-E46A-40E2-915D-38FD7E3DD7C9}">
            <x14:dataBar minLength="0" maxLength="100" gradient="0">
              <x14:cfvo type="num">
                <xm:f>0</xm:f>
              </x14:cfvo>
              <x14:cfvo type="num">
                <xm:f>1</xm:f>
              </x14:cfvo>
              <x14:negativeFillColor rgb="FFFF0000"/>
              <x14:axisColor rgb="FF000000"/>
            </x14:dataBar>
          </x14:cfRule>
          <xm:sqref>D128</xm:sqref>
        </x14:conditionalFormatting>
        <x14:conditionalFormatting xmlns:xm="http://schemas.microsoft.com/office/excel/2006/main">
          <x14:cfRule type="dataBar" id="{AFBA83EF-F43B-49E3-8081-9B5AE330932A}">
            <x14:dataBar minLength="0" maxLength="100" gradient="0">
              <x14:cfvo type="num">
                <xm:f>0</xm:f>
              </x14:cfvo>
              <x14:cfvo type="num">
                <xm:f>1</xm:f>
              </x14:cfvo>
              <x14:negativeFillColor rgb="FFFF0000"/>
              <x14:axisColor rgb="FF000000"/>
            </x14:dataBar>
          </x14:cfRule>
          <xm:sqref>D136</xm:sqref>
        </x14:conditionalFormatting>
        <x14:conditionalFormatting xmlns:xm="http://schemas.microsoft.com/office/excel/2006/main">
          <x14:cfRule type="dataBar" id="{87BC5F7B-7F8B-407C-B482-2D33028E5718}">
            <x14:dataBar minLength="0" maxLength="100" gradient="0">
              <x14:cfvo type="num">
                <xm:f>0</xm:f>
              </x14:cfvo>
              <x14:cfvo type="num">
                <xm:f>1</xm:f>
              </x14:cfvo>
              <x14:negativeFillColor rgb="FFFF0000"/>
              <x14:axisColor rgb="FF000000"/>
            </x14:dataBar>
          </x14:cfRule>
          <xm:sqref>D137</xm:sqref>
        </x14:conditionalFormatting>
        <x14:conditionalFormatting xmlns:xm="http://schemas.microsoft.com/office/excel/2006/main">
          <x14:cfRule type="dataBar" id="{BA27F715-2732-4965-930D-411D215E8C1E}">
            <x14:dataBar minLength="0" maxLength="100" gradient="0">
              <x14:cfvo type="num">
                <xm:f>0</xm:f>
              </x14:cfvo>
              <x14:cfvo type="num">
                <xm:f>1</xm:f>
              </x14:cfvo>
              <x14:negativeFillColor rgb="FFFF0000"/>
              <x14:axisColor rgb="FF000000"/>
            </x14:dataBar>
          </x14:cfRule>
          <xm:sqref>D138</xm:sqref>
        </x14:conditionalFormatting>
        <x14:conditionalFormatting xmlns:xm="http://schemas.microsoft.com/office/excel/2006/main">
          <x14:cfRule type="dataBar" id="{1C498544-6D9A-4F83-A560-18C49B82E543}">
            <x14:dataBar minLength="0" maxLength="100" gradient="0">
              <x14:cfvo type="num">
                <xm:f>0</xm:f>
              </x14:cfvo>
              <x14:cfvo type="num">
                <xm:f>1</xm:f>
              </x14:cfvo>
              <x14:negativeFillColor rgb="FFFF0000"/>
              <x14:axisColor rgb="FF000000"/>
            </x14:dataBar>
          </x14:cfRule>
          <xm:sqref>D274:D275</xm:sqref>
        </x14:conditionalFormatting>
        <x14:conditionalFormatting xmlns:xm="http://schemas.microsoft.com/office/excel/2006/main">
          <x14:cfRule type="dataBar" id="{267BAF59-EF07-46F4-B7EB-20733CA1CB6A}">
            <x14:dataBar minLength="0" maxLength="100" gradient="0">
              <x14:cfvo type="num">
                <xm:f>0</xm:f>
              </x14:cfvo>
              <x14:cfvo type="num">
                <xm:f>1</xm:f>
              </x14:cfvo>
              <x14:negativeFillColor rgb="FFFF0000"/>
              <x14:axisColor rgb="FF000000"/>
            </x14:dataBar>
          </x14:cfRule>
          <xm:sqref>D276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4.4" x14ac:dyDescent="0.3"/>
  <cols>
    <col min="1" max="1" width="87" style="35" customWidth="1"/>
    <col min="2" max="16384" width="9" style="36"/>
  </cols>
  <sheetData>
    <row r="1" spans="1:2" ht="46.5" customHeight="1" x14ac:dyDescent="0.3"/>
    <row r="2" spans="1:2" s="38" customFormat="1" ht="16.2" x14ac:dyDescent="0.3">
      <c r="A2" s="37" t="s">
        <v>21</v>
      </c>
      <c r="B2" s="37"/>
    </row>
    <row r="3" spans="1:2" s="41" customFormat="1" ht="27" customHeight="1" x14ac:dyDescent="0.3">
      <c r="A3" s="39" t="s">
        <v>22</v>
      </c>
      <c r="B3" s="40"/>
    </row>
    <row r="4" spans="1:2" s="43" customFormat="1" ht="27" x14ac:dyDescent="0.5">
      <c r="A4" s="42" t="s">
        <v>23</v>
      </c>
    </row>
    <row r="5" spans="1:2" ht="61.5" customHeight="1" x14ac:dyDescent="0.3">
      <c r="A5" s="44" t="s">
        <v>24</v>
      </c>
    </row>
    <row r="6" spans="1:2" ht="26.25" customHeight="1" x14ac:dyDescent="0.3">
      <c r="A6" s="42" t="s">
        <v>25</v>
      </c>
    </row>
    <row r="7" spans="1:2" s="35" customFormat="1" ht="198" customHeight="1" x14ac:dyDescent="0.3">
      <c r="A7" s="45" t="s">
        <v>36</v>
      </c>
    </row>
    <row r="8" spans="1:2" s="43" customFormat="1" ht="27" x14ac:dyDescent="0.5">
      <c r="A8" s="42" t="s">
        <v>26</v>
      </c>
    </row>
    <row r="9" spans="1:2" ht="45" x14ac:dyDescent="0.3">
      <c r="A9" s="44" t="s">
        <v>27</v>
      </c>
    </row>
    <row r="10" spans="1:2" s="35" customFormat="1" ht="27.9" customHeight="1" x14ac:dyDescent="0.3">
      <c r="A10" s="46" t="s">
        <v>28</v>
      </c>
    </row>
    <row r="11" spans="1:2" s="43" customFormat="1" ht="27" x14ac:dyDescent="0.5">
      <c r="A11" s="42" t="s">
        <v>29</v>
      </c>
    </row>
    <row r="12" spans="1:2" ht="30" x14ac:dyDescent="0.3">
      <c r="A12" s="44" t="s">
        <v>30</v>
      </c>
    </row>
    <row r="13" spans="1:2" s="35" customFormat="1" ht="27.9" customHeight="1" x14ac:dyDescent="0.3">
      <c r="A13" s="46" t="s">
        <v>31</v>
      </c>
    </row>
    <row r="14" spans="1:2" s="43" customFormat="1" ht="27" x14ac:dyDescent="0.5">
      <c r="A14" s="42" t="s">
        <v>32</v>
      </c>
    </row>
    <row r="15" spans="1:2" ht="64.5" customHeight="1" x14ac:dyDescent="0.3">
      <c r="A15" s="44" t="s">
        <v>33</v>
      </c>
    </row>
    <row r="16" spans="1:2" ht="45" x14ac:dyDescent="0.3">
      <c r="A16" s="44" t="s">
        <v>34</v>
      </c>
    </row>
  </sheetData>
  <phoneticPr fontId="28"/>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44944C-1F1D-4162-962A-96F3FC8455D8}">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8FE8ED85-58B3-4608-8E91-0433556D50CE}">
  <ds:schemaRefs>
    <ds:schemaRef ds:uri="http://schemas.microsoft.com/sharepoint/v3/contenttype/forms"/>
  </ds:schemaRefs>
</ds:datastoreItem>
</file>

<file path=customXml/itemProps3.xml><?xml version="1.0" encoding="utf-8"?>
<ds:datastoreItem xmlns:ds="http://schemas.openxmlformats.org/officeDocument/2006/customXml" ds:itemID="{708DBB9E-6D89-4A94-9DC5-964B7833E11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2026-10-21T10:37:24Z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